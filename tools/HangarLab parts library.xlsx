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3"/>
  </bookViews>
  <sheets>
    <sheet name="Read me" sheetId="1" r:id="rId1"/>
    <sheet name="Motors" sheetId="2" r:id="rId2"/>
    <sheet name="Motor thrust data" sheetId="3" r:id="rId3"/>
    <sheet name="Props" sheetId="4" r:id="rId4"/>
    <sheet name="Batteries" sheetId="5" r:id="rId5"/>
    <sheet name="Components" sheetId="6" r:id="rId6"/>
    <sheet name="Airframes" sheetId="7" r:id="rId7"/>
    <sheet name="3D printed parts" sheetId="8" r:id="rId8"/>
    <sheet name="Lists" sheetId="9" state="hidden" r:id="rId9"/>
  </sheets>
  <calcPr calcId="191029"/>
</workbook>
</file>

<file path=xl/comments1.xml><?xml version="1.0" encoding="utf-8"?>
<comments xmlns="http://schemas.openxmlformats.org/spreadsheetml/2006/main">
  <authors>
    <author>HangarLab</author>
  </authors>
  <commentList>
    <comment ref="D1" authorId="0">
      <text>
        <r>
          <t>Winding resistance in milliohms (datasheet). With I0 it switches on the motor model for motor + prop pairs that have no thrust test.</t>
        </r>
      </text>
    </comment>
    <comment ref="E1" authorId="0">
      <text>
        <r>
          <t>No-load current, and the voltage it was measured at.</t>
        </r>
      </text>
    </comment>
  </commentList>
</comments>
</file>

<file path=xl/comments2.xml><?xml version="1.0" encoding="utf-8"?>
<comments xmlns="http://schemas.openxmlformats.org/spreadsheetml/2006/main">
  <authors>
    <author>HangarLab</author>
  </authors>
  <commentList>
    <comment ref="C1" authorId="0">
      <text>
        <r>
          <t>Leave blank if the test sheet has no throttle column.</t>
        </r>
      </text>
    </comment>
    <comment ref="G1" authorId="0">
      <text>
        <r>
          <t>Calculated: Voltage × Current.</t>
        </r>
      </text>
    </comment>
  </commentList>
</comments>
</file>

<file path=xl/comments3.xml><?xml version="1.0" encoding="utf-8"?>
<comments xmlns="http://schemas.openxmlformats.org/spreadsheetml/2006/main">
  <authors>
    <author>HangarLab</author>
  </authors>
  <commentList>
    <comment ref="I1" authorId="0">
      <text>
        <r>
          <t>Read-only: prop performance (APC .dat) stays in the app. Add APC data for new props in Parts Library → Props.</t>
        </r>
      </text>
    </comment>
  </commentList>
</comments>
</file>

<file path=xl/comments4.xml><?xml version="1.0" encoding="utf-8"?>
<comments xmlns="http://schemas.openxmlformats.org/spreadsheetml/2006/main">
  <authors>
    <author>HangarLab</author>
  </authors>
  <commentList>
    <comment ref="E1" authorId="0">
      <text>
        <r>
          <t>Per cell. Pack capacity = this × Cells P.</t>
        </r>
      </text>
    </comment>
    <comment ref="H1" authorId="0">
      <text>
        <r>
          <t>Burst rating (usually ~10 s). Blank if unknown.</t>
        </r>
      </text>
    </comment>
  </commentList>
</comments>
</file>

<file path=xl/comments5.xml><?xml version="1.0" encoding="utf-8"?>
<comments xmlns="http://schemas.openxmlformats.org/spreadsheetml/2006/main">
  <authors>
    <author>HangarLab</author>
  </authors>
  <commentList>
    <comment ref="D1" authorId="0">
      <text>
        <r>
          <t>Reference only: the library stores one of each; quantities are set per design.</t>
        </r>
      </text>
    </comment>
    <comment ref="E1" authorId="0">
      <text>
        <r>
          <t>Supply that powers the part. VBAT = straight from the flight pack, None = unpowered.</t>
        </r>
      </text>
    </comment>
  </commentList>
</comments>
</file>

<file path=xl/comments6.xml><?xml version="1.0" encoding="utf-8"?>
<comments xmlns="http://schemas.openxmlformats.org/spreadsheetml/2006/main">
  <authors>
    <author>HangarLab</author>
  </authors>
  <commentList>
    <comment ref="C1" authorId="0">
      <text>
        <r>
          <t>Needed for fixed-wing and VTOL estimates. Blank = not listed by the maker.</t>
        </r>
      </text>
    </comment>
  </commentList>
</comments>
</file>

<file path=xl/comments7.xml><?xml version="1.0" encoding="utf-8"?>
<comments xmlns="http://schemas.openxmlformats.org/spreadsheetml/2006/main">
  <authors>
    <author>HangarLab</author>
  </authors>
  <commentList>
    <comment ref="C1" authorId="0">
      <text>
        <r>
          <t>Solid volume of the part (STL or slicer). The app works out the printed mass from it.</t>
        </r>
      </text>
    </comment>
    <comment ref="D1" authorId="0">
      <text>
        <r>
          <t>Outer surface area; blank = estimated from the volume.</t>
        </r>
      </text>
    </comment>
  </commentList>
</comments>
</file>

<file path=xl/sharedStrings.xml><?xml version="1.0" encoding="utf-8"?>
<sst xmlns="http://schemas.openxmlformats.org/spreadsheetml/2006/main" count="724" uniqueCount="194">
  <si>
    <t>HangarLab parts library</t>
  </si>
  <si>
    <t>Exported from the app: 15 motors, 20 props, 16 thrust tests, 3 battery packs, 21 components, 10 airframes, 1 printed part.</t>
  </si>
  <si>
    <t>How to edit</t>
  </si>
  <si>
    <t>Add a part: fill a new row at the bottom of its sheet. Remove a part: delete its whole row. Change a part: edit the cells.</t>
  </si>
  <si>
    <t>Blank cells mean "unknown" (the app estimates or skips that value). Keep the header row; columns can be reordered.</t>
  </si>
  <si>
    <t>Units are metric: grams, metres, m², volts, amps, watts, mAh. Prop sizes in inches.</t>
  </si>
  <si>
    <t>Dropdowns: Subsystem, Rail and RF Freq (Components), Chemistry (Batteries), Material (3D printed), and Motor / Prop names (Motor thrust data).</t>
  </si>
  <si>
    <t>Sheets</t>
  </si>
  <si>
    <t>Motors — kV, plus Rm (mΩ) and I0 if known (they switch on the motor model). Max current from the datasheet.</t>
  </si>
  <si>
    <t>Motor thrust data — thrust-stand tests, one row per measurement. Rows with the same Motor + Prop form one test. Names must match the Motors and Props sheets.</t>
  </si>
  <si>
    <t>Props — diameter and pitch in inches. "Performance data" shows which props already have APC data in the app (read-only: add new APC files in the app).</t>
  </si>
  <si>
    <t>Batteries — one row per pack: cells in series (S), in parallel (P), capacity per cell, pack weight, continuous and peak (burst) C.</t>
  </si>
  <si>
    <t>Components — everything else: avionics, sensors, radios, payloads, power, wiring, hardware, structure.</t>
  </si>
  <si>
    <t>Airframes — span, wing area and length in metres, weight in grams.</t>
  </si>
  <si>
    <t>3D printed parts — material, part volume and outer surface area from your slicer or STL, walls, top/bottom layers and infill.</t>
  </si>
  <si>
    <t>When you are done</t>
  </si>
  <si>
    <t>Send this file back to Claude: it becomes the built-in library that new visitors see. You can also load it yourself in the app with Parts Library → Import workbook (that adds and updates parts; removals only happen through Claude).</t>
  </si>
  <si>
    <t>Name</t>
  </si>
  <si>
    <t>Brand</t>
  </si>
  <si>
    <t>kV</t>
  </si>
  <si>
    <t>Rm (mΩ)</t>
  </si>
  <si>
    <t>I0 (A)</t>
  </si>
  <si>
    <t>I0 voltage (V)</t>
  </si>
  <si>
    <t>Max current (A)</t>
  </si>
  <si>
    <t>Max power (W)</t>
  </si>
  <si>
    <t>Weight (g)</t>
  </si>
  <si>
    <t>Link</t>
  </si>
  <si>
    <t>Unit cost</t>
  </si>
  <si>
    <t>Buy link</t>
  </si>
  <si>
    <t>Hobbywing 4120 250KV</t>
  </si>
  <si>
    <t>Hobbywing</t>
  </si>
  <si>
    <t>T-Motor AT4120 250KV</t>
  </si>
  <si>
    <t>T-Motor</t>
  </si>
  <si>
    <t>XRotor X6 Plus 6218 150KV</t>
  </si>
  <si>
    <t>XRotor H6M 6210 130KV</t>
  </si>
  <si>
    <t>Hobbywing 6212 180KV</t>
  </si>
  <si>
    <t>XRotor H8M 8106 85KV</t>
  </si>
  <si>
    <t>Xnova Lightning 350KV</t>
  </si>
  <si>
    <t>Xnova</t>
  </si>
  <si>
    <t>Xing2 3616 760KV</t>
  </si>
  <si>
    <t>iFlight</t>
  </si>
  <si>
    <t>Xing 2812 1150KV</t>
  </si>
  <si>
    <t>Xnova 3220 SK 700KV</t>
  </si>
  <si>
    <t>Xing2 3110 900KV</t>
  </si>
  <si>
    <t>SunnySky V5208 340KV</t>
  </si>
  <si>
    <t>SunnySky</t>
  </si>
  <si>
    <t>AtomRC 2807 1100KV</t>
  </si>
  <si>
    <t>AtomRC</t>
  </si>
  <si>
    <t>T-Motor MN5008</t>
  </si>
  <si>
    <t>HEEWING T2 FX-2216-850KV</t>
  </si>
  <si>
    <t>HEEWING</t>
  </si>
  <si>
    <t>Motor</t>
  </si>
  <si>
    <t>Prop</t>
  </si>
  <si>
    <t>Throttle (%)</t>
  </si>
  <si>
    <t>Thrust (g)</t>
  </si>
  <si>
    <t>Voltage (V)</t>
  </si>
  <si>
    <t>Current (A)</t>
  </si>
  <si>
    <t>Power (W)</t>
  </si>
  <si>
    <t>APC 16x8E</t>
  </si>
  <si>
    <t>APC 16x6</t>
  </si>
  <si>
    <t>APC 16x8</t>
  </si>
  <si>
    <t>HF 2480</t>
  </si>
  <si>
    <t>VSC 22.1x7.4</t>
  </si>
  <si>
    <t>HF 30x9.8</t>
  </si>
  <si>
    <t>HQ 13x9x3</t>
  </si>
  <si>
    <t>APC 15x4</t>
  </si>
  <si>
    <t>HQ 11x4.5x3</t>
  </si>
  <si>
    <t>GF 1050</t>
  </si>
  <si>
    <t>HQ 8x4.5x3</t>
  </si>
  <si>
    <t>HQ 10x5x3</t>
  </si>
  <si>
    <t>HQ 8x4x3</t>
  </si>
  <si>
    <t>EOLO C18 18x6.2</t>
  </si>
  <si>
    <t>APC 8x6E</t>
  </si>
  <si>
    <t>Diameter (in)</t>
  </si>
  <si>
    <t>Pitch (in)</t>
  </si>
  <si>
    <t>Performance data</t>
  </si>
  <si>
    <t>APC</t>
  </si>
  <si>
    <t>APC (15 rpm curves)</t>
  </si>
  <si>
    <t>APC (14 rpm curves)</t>
  </si>
  <si>
    <t>HF</t>
  </si>
  <si>
    <t>VSC</t>
  </si>
  <si>
    <t>HQ</t>
  </si>
  <si>
    <t>APC (16 rpm curves)</t>
  </si>
  <si>
    <t>GF</t>
  </si>
  <si>
    <t>EOLO</t>
  </si>
  <si>
    <t>APC 8x4E</t>
  </si>
  <si>
    <t>APC (26 rpm curves)</t>
  </si>
  <si>
    <t>https://www.apcprop.com/</t>
  </si>
  <si>
    <t>APC 8x6EP</t>
  </si>
  <si>
    <t>APC (25 rpm curves)</t>
  </si>
  <si>
    <t>APC 16x10E</t>
  </si>
  <si>
    <t>APC 16x10EP</t>
  </si>
  <si>
    <t xml:space="preserve"> </t>
  </si>
  <si>
    <t>Chemistry</t>
  </si>
  <si>
    <t>Cells S</t>
  </si>
  <si>
    <t>Cells P</t>
  </si>
  <si>
    <t>Cell capacity (mAh)</t>
  </si>
  <si>
    <t>Pack weight (g)</t>
  </si>
  <si>
    <t>Continuous C</t>
  </si>
  <si>
    <t>Peak C</t>
  </si>
  <si>
    <t>Tattu 6S 7000 25C</t>
  </si>
  <si>
    <t>LiPo</t>
  </si>
  <si>
    <t>Tattu 4S 550 95C</t>
  </si>
  <si>
    <t>Upgrade Energy GREEN V2 6S1P 4Ah AMPRIUS SA10</t>
  </si>
  <si>
    <t>Li-ion</t>
  </si>
  <si>
    <t>Subsystem</t>
  </si>
  <si>
    <t>Qty</t>
  </si>
  <si>
    <t>Rail</t>
  </si>
  <si>
    <t>Avg power (W)</t>
  </si>
  <si>
    <t>Peak power (W)</t>
  </si>
  <si>
    <t>RF Freq</t>
  </si>
  <si>
    <t>Notes</t>
  </si>
  <si>
    <t>TBS Lucid 12S 90A ESC</t>
  </si>
  <si>
    <t>Propulsion</t>
  </si>
  <si>
    <t>None</t>
  </si>
  <si>
    <t>Matek BEC12S-PRO</t>
  </si>
  <si>
    <t>Power</t>
  </si>
  <si>
    <t>PDB &amp; power modules (est.)</t>
  </si>
  <si>
    <t>Control Zero H7 OEM G + carrier</t>
  </si>
  <si>
    <t>Avionics</t>
  </si>
  <si>
    <t>5V</t>
  </si>
  <si>
    <t>Cube Orange+ Mini</t>
  </si>
  <si>
    <t>Cube Orange+ Standard</t>
  </si>
  <si>
    <t>FT EZ ID Remote ID</t>
  </si>
  <si>
    <t>Herelink air unit</t>
  </si>
  <si>
    <t>SIYI A8 mini gimbal camera</t>
  </si>
  <si>
    <t>Sensors</t>
  </si>
  <si>
    <t>12V</t>
  </si>
  <si>
    <t>https://irlock.com/products/the-cube-orange-mini-set</t>
  </si>
  <si>
    <t>3DR CAN airspeed (DLVR)</t>
  </si>
  <si>
    <t>3DR Location One GPS + compass + baro</t>
  </si>
  <si>
    <t>Here4 GPS</t>
  </si>
  <si>
    <t>Comms</t>
  </si>
  <si>
    <t>2.4 GHz</t>
  </si>
  <si>
    <t>Landmark landing camera</t>
  </si>
  <si>
    <t>915 MHz</t>
  </si>
  <si>
    <t>ELRS RP4TD receiver</t>
  </si>
  <si>
    <t>5.8 GHz</t>
  </si>
  <si>
    <t>RFD900x telemetry</t>
  </si>
  <si>
    <t>Ubiquiti Bullet AC</t>
  </si>
  <si>
    <t>https://www.radiomasterrc.com/products/rp4td-expresslrs-2-4ghz-diversity-receiver</t>
  </si>
  <si>
    <t>Jetson Orin Nano + Seeed A603</t>
  </si>
  <si>
    <t>Compute</t>
  </si>
  <si>
    <t>Jetson Orin Nano Super Dev Kit</t>
  </si>
  <si>
    <t>Wingspan (m)</t>
  </si>
  <si>
    <t>Wing area (m²)</t>
  </si>
  <si>
    <t>Length (m)</t>
  </si>
  <si>
    <t>HEEWING T2 Cruza</t>
  </si>
  <si>
    <t>Wing area not listed</t>
  </si>
  <si>
    <t>https://www.rcgroups.com/forums/showthread.php?4411511-Heewing-T2-Cruza/page7</t>
  </si>
  <si>
    <t>ZMO V2 VTOL</t>
  </si>
  <si>
    <t>ZOHD Altus VTOL</t>
  </si>
  <si>
    <t>Reptile DRAGON V2</t>
  </si>
  <si>
    <t>&gt;90 mm internal length</t>
  </si>
  <si>
    <t>HEEWING T-1 Ranger</t>
  </si>
  <si>
    <t>AtomRC Dolphin Pro</t>
  </si>
  <si>
    <t>AtomRC Dolphin V1.1</t>
  </si>
  <si>
    <t>ZOHD Talon GT Rebel</t>
  </si>
  <si>
    <t>Flightory Stallion VTOL</t>
  </si>
  <si>
    <t>3D printed</t>
  </si>
  <si>
    <t>TBS Mojito</t>
  </si>
  <si>
    <t>Material</t>
  </si>
  <si>
    <t>Volume (cm³)</t>
  </si>
  <si>
    <t>Surface area (cm²)</t>
  </si>
  <si>
    <t>Walls</t>
  </si>
  <si>
    <t>Top/bottom layers</t>
  </si>
  <si>
    <t>Infill (%)</t>
  </si>
  <si>
    <t>Skids Assembly</t>
  </si>
  <si>
    <t>PLA</t>
  </si>
  <si>
    <t>Structures</t>
  </si>
  <si>
    <t>VBAT</t>
  </si>
  <si>
    <t>3.3V</t>
  </si>
  <si>
    <t>433 MHz</t>
  </si>
  <si>
    <t>LiHV</t>
  </si>
  <si>
    <t>PETG</t>
  </si>
  <si>
    <t>868 MHz</t>
  </si>
  <si>
    <t>ABS</t>
  </si>
  <si>
    <t>9V</t>
  </si>
  <si>
    <t>LiFePO4</t>
  </si>
  <si>
    <t>ASA</t>
  </si>
  <si>
    <t>1.2/1.3 GHz</t>
  </si>
  <si>
    <t>Polycarbonate</t>
  </si>
  <si>
    <t>24V</t>
  </si>
  <si>
    <t>Nylon (PA12)</t>
  </si>
  <si>
    <t>Own supply</t>
  </si>
  <si>
    <t>PA-CF (nylon carbon)</t>
  </si>
  <si>
    <t>PETG-CF</t>
  </si>
  <si>
    <t>Payload</t>
  </si>
  <si>
    <t>TPU 95A</t>
  </si>
  <si>
    <t>Wiring</t>
  </si>
  <si>
    <t>PEI (ULTEM 9085)</t>
  </si>
  <si>
    <t>Hardware</t>
  </si>
  <si>
    <t>PEEK</t>
  </si>
  <si>
    <t>Other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</si>
</sst>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D9530A"/>
      <name val="Arial"/>
      <family val="2"/>
    </font>
    <font>
      <sz val="11"/>
      <color rgb="FF6F6D65"/>
      <name val="Arial"/>
      <family val="2"/>
    </font>
    <font>
      <b/>
      <sz val="12"/>
      <color rgb="FF1D1D1B"/>
      <name val="Arial"/>
      <family val="2"/>
    </font>
    <font>
      <sz val="10"/>
      <color rgb="FF1D1D1B"/>
      <name val="Arial"/>
      <family val="2"/>
    </font>
    <font>
      <b/>
      <sz val="10"/>
      <color rgb="FFFFFFFF"/>
      <name val="Arial"/>
      <family val="2"/>
    </font>
    <font>
      <sz val="10"/>
      <color rgb="FF6F6D65"/>
      <name val="Arial"/>
      <family val="2"/>
    </font>
    <font>
      <i/>
      <sz val="10"/>
      <color rgb="FF6F6D65"/>
      <name val="Arial"/>
      <family val="2"/>
    </font>
    <font>
      <u/>
      <sz val="10"/>
      <color rgb="FF1F5FA8"/>
      <name val="Arial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2B2B2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AD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12">
    <dxf>
      <font>
        <b/>
        <color rgb="FF154984"/>
      </font>
      <fill>
        <patternFill patternType="solid">
          <fgColor rgb="FFC5DAF1"/>
          <bgColor rgb="FFC5DAF1"/>
        </patternFill>
      </fill>
    </dxf>
    <dxf>
      <font>
        <b/>
        <color rgb="FF588415"/>
      </font>
      <fill>
        <patternFill patternType="solid">
          <fgColor rgb="FFE0F1C5"/>
          <bgColor rgb="FFE0F1C5"/>
        </patternFill>
      </fill>
    </dxf>
    <dxf>
      <font>
        <b/>
        <color rgb="FF844115"/>
      </font>
      <fill>
        <patternFill patternType="solid">
          <fgColor rgb="FFF1D7C5"/>
          <bgColor rgb="FFF1D7C5"/>
        </patternFill>
      </fill>
    </dxf>
    <dxf>
      <font>
        <b/>
        <color rgb="FF841524"/>
      </font>
      <fill>
        <patternFill patternType="solid">
          <fgColor rgb="FFF1C5CB"/>
          <bgColor rgb="FFF1C5CB"/>
        </patternFill>
      </fill>
    </dxf>
    <dxf>
      <font>
        <b/>
        <color rgb="FF491584"/>
      </font>
      <fill>
        <patternFill patternType="solid">
          <fgColor rgb="FFDAC5F1"/>
          <bgColor rgb="FFDAC5F1"/>
        </patternFill>
      </fill>
    </dxf>
    <dxf>
      <font>
        <b/>
        <color rgb="FF158475"/>
      </font>
      <fill>
        <patternFill patternType="solid">
          <fgColor rgb="FFC5F1EC"/>
          <bgColor rgb="FFC5F1EC"/>
        </patternFill>
      </fill>
    </dxf>
    <dxf>
      <font>
        <b/>
        <color rgb="FF156684"/>
      </font>
      <fill>
        <patternFill patternType="solid">
          <fgColor rgb="FFC5E6F1"/>
          <bgColor rgb="FFC5E6F1"/>
        </patternFill>
      </fill>
    </dxf>
    <dxf>
      <font>
        <b/>
        <color rgb="FF841566"/>
      </font>
      <fill>
        <patternFill patternType="solid">
          <fgColor rgb="FFF1C5E6"/>
          <bgColor rgb="FFF1C5E6"/>
        </patternFill>
      </fill>
    </dxf>
    <dxf>
      <font>
        <b/>
        <color rgb="FF15843A"/>
      </font>
      <fill>
        <patternFill patternType="solid">
          <fgColor rgb="FFC5F1D4"/>
          <bgColor rgb="FFC5F1D4"/>
        </patternFill>
      </fill>
    </dxf>
    <dxf>
      <font>
        <b/>
        <color rgb="FF847115"/>
      </font>
      <fill>
        <patternFill patternType="solid">
          <fgColor rgb="FFF1EAC5"/>
          <bgColor rgb="FFF1EAC5"/>
        </patternFill>
      </fill>
    </dxf>
    <dxf>
      <font>
        <b/>
        <color rgb="FF6B4F2E"/>
      </font>
      <fill>
        <patternFill patternType="solid">
          <fgColor rgb="FFE6DCD1"/>
          <bgColor rgb="FFE6DCD1"/>
        </patternFill>
      </fill>
    </dxf>
    <dxf>
      <font>
        <b/>
        <color rgb="FF3C475D"/>
      </font>
      <fill>
        <patternFill patternType="solid">
          <fgColor rgb="FFD7DAE0"/>
          <bgColor rgb="FFD7DAE0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theme" Target="theme/theme1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pcprop.com/" TargetMode="External"/><Relationship Id="rId2" Type="http://schemas.openxmlformats.org/officeDocument/2006/relationships/hyperlink" Target="https://www.apcprop.com/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irlock.com/products/the-cube-orange-mini-set" TargetMode="External"/><Relationship Id="rId2" Type="http://schemas.openxmlformats.org/officeDocument/2006/relationships/hyperlink" Target="https://www.radiomasterrc.com/products/rp4td-expresslrs-2-4ghz-diversity-receiver" TargetMode="External"/><Relationship Id="rId3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cgroups.com/forums/showthread.php?4411511-Heewing-T2-Cruza/page7" TargetMode="External"/><Relationship Id="rId2" Type="http://schemas.openxmlformats.org/officeDocument/2006/relationships/comments" Target="../comments6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opLeftCell="A2" workbookViewId="0">
      <selection activeCell="A1" sqref="A1"/>
    </sheetView>
  </sheetViews>
  <sheetFormatPr defaultRowHeight="15"/>
  <cols>
    <col min="1" max="1" width="115.00390625" customWidth="1"/>
  </cols>
  <sheetData>
    <row r="1" ht="21.82">
      <c r="A1" s="1" t="s">
        <v>0</v>
      </c>
    </row>
    <row r="2" ht="30.75">
      <c r="A2" s="2" t="s">
        <v>1</v>
      </c>
    </row>
    <row r="3">
      <c r="A3" s="3"/>
    </row>
    <row r="4" ht="16.5">
      <c r="A4" s="4" t="s">
        <v>2</v>
      </c>
    </row>
    <row r="5">
      <c r="A5" s="5" t="s">
        <v>3</v>
      </c>
    </row>
    <row r="6">
      <c r="A6" s="5" t="s">
        <v>4</v>
      </c>
    </row>
    <row r="7">
      <c r="A7" s="5" t="s">
        <v>5</v>
      </c>
    </row>
    <row r="8" ht="28.5">
      <c r="A8" s="5" t="s">
        <v>6</v>
      </c>
    </row>
    <row r="9">
      <c r="A9" s="3"/>
    </row>
    <row r="10" ht="16.5">
      <c r="A10" s="4" t="s">
        <v>7</v>
      </c>
    </row>
    <row r="11">
      <c r="A11" s="5" t="s">
        <v>8</v>
      </c>
    </row>
    <row r="12" ht="28.5">
      <c r="A12" s="5" t="s">
        <v>9</v>
      </c>
    </row>
    <row r="13" ht="28.5">
      <c r="A13" s="5" t="s">
        <v>10</v>
      </c>
    </row>
    <row r="14">
      <c r="A14" s="5" t="s">
        <v>11</v>
      </c>
    </row>
    <row r="15">
      <c r="A15" s="5" t="s">
        <v>12</v>
      </c>
    </row>
    <row r="16">
      <c r="A16" s="5" t="s">
        <v>13</v>
      </c>
    </row>
    <row r="17">
      <c r="A17" s="5" t="s">
        <v>14</v>
      </c>
    </row>
    <row r="18">
      <c r="A18" s="3"/>
    </row>
    <row r="19" ht="16.5">
      <c r="A19" s="4" t="s">
        <v>15</v>
      </c>
    </row>
    <row r="20" ht="28.5">
      <c r="A20" s="5" t="s">
        <v>16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zoomScale="120" zoomScaleNormal="120" workbookViewId="0">
      <pane xSplit="1" ySplit="1" topLeftCell="B2" activePane="bottomRight" state="frozen"/>
      <selection pane="bottomRight" activeCell="A1" sqref="A1"/>
    </sheetView>
  </sheetViews>
  <sheetFormatPr defaultRowHeight="15"/>
  <cols>
    <col min="1" max="1" width="30.00390625" customWidth="1"/>
    <col min="2" max="2" width="14.00390625" customWidth="1"/>
    <col min="3" max="3" width="8.00390625" customWidth="1"/>
    <col min="4" max="4" width="10.00390625" customWidth="1"/>
    <col min="5" max="5" width="9.00390625" customWidth="1"/>
    <col min="6" max="6" width="14.00390625" customWidth="1"/>
    <col min="7" max="7" width="15.00390625" customWidth="1"/>
    <col min="8" max="8" width="14.00390625" customWidth="1"/>
    <col min="9" max="9" width="11.00390625" customWidth="1"/>
    <col min="10" max="10" width="40.00390625" customWidth="1"/>
    <col min="11" max="11" width="10.00390625" customWidth="1"/>
    <col min="12" max="12" width="40.00390625" customWidth="1"/>
  </cols>
  <sheetData>
    <row r="1" ht="30" customHeight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</row>
    <row r="2">
      <c r="A2" s="7" t="s">
        <v>29</v>
      </c>
      <c r="B2" s="7" t="s">
        <v>30</v>
      </c>
      <c r="C2" s="7">
        <v>250</v>
      </c>
      <c r="D2" s="7"/>
      <c r="E2" s="7"/>
      <c r="F2" s="7"/>
      <c r="G2" s="7">
        <v>55.3</v>
      </c>
      <c r="H2" s="7"/>
      <c r="I2" s="7">
        <v>309</v>
      </c>
      <c r="J2" s="7"/>
      <c r="K2" s="7"/>
      <c r="L2" s="7"/>
    </row>
    <row r="3">
      <c r="A3" s="7" t="s">
        <v>31</v>
      </c>
      <c r="B3" s="7" t="s">
        <v>32</v>
      </c>
      <c r="C3" s="7">
        <v>250</v>
      </c>
      <c r="D3" s="7"/>
      <c r="E3" s="7"/>
      <c r="F3" s="7"/>
      <c r="G3" s="7">
        <v>45.73</v>
      </c>
      <c r="H3" s="7"/>
      <c r="I3" s="7">
        <v>304</v>
      </c>
      <c r="J3" s="7"/>
      <c r="K3" s="7"/>
      <c r="L3" s="7"/>
    </row>
    <row r="4">
      <c r="A4" s="7" t="s">
        <v>33</v>
      </c>
      <c r="B4" s="7" t="s">
        <v>30</v>
      </c>
      <c r="C4" s="7">
        <v>150</v>
      </c>
      <c r="D4" s="7"/>
      <c r="E4" s="7"/>
      <c r="F4" s="7"/>
      <c r="G4" s="7">
        <v>51.8</v>
      </c>
      <c r="H4" s="7"/>
      <c r="I4" s="7">
        <v>683</v>
      </c>
      <c r="J4" s="7"/>
      <c r="K4" s="7"/>
      <c r="L4" s="7"/>
    </row>
    <row r="5">
      <c r="A5" s="7" t="s">
        <v>34</v>
      </c>
      <c r="B5" s="7" t="s">
        <v>30</v>
      </c>
      <c r="C5" s="7">
        <v>130</v>
      </c>
      <c r="D5" s="7"/>
      <c r="E5" s="7"/>
      <c r="F5" s="7"/>
      <c r="G5" s="7">
        <v>23</v>
      </c>
      <c r="H5" s="7"/>
      <c r="I5" s="7">
        <v>385</v>
      </c>
      <c r="J5" s="7"/>
      <c r="K5" s="7"/>
      <c r="L5" s="7"/>
    </row>
    <row r="6">
      <c r="A6" s="7" t="s">
        <v>35</v>
      </c>
      <c r="B6" s="7" t="s">
        <v>30</v>
      </c>
      <c r="C6" s="7">
        <v>180</v>
      </c>
      <c r="D6" s="7"/>
      <c r="E6" s="7"/>
      <c r="F6" s="7"/>
      <c r="G6" s="7">
        <v>58.4</v>
      </c>
      <c r="H6" s="7"/>
      <c r="I6" s="7">
        <v>292</v>
      </c>
      <c r="J6" s="7"/>
      <c r="K6" s="7"/>
      <c r="L6" s="7"/>
    </row>
    <row r="7">
      <c r="A7" s="7" t="s">
        <v>36</v>
      </c>
      <c r="B7" s="7" t="s">
        <v>30</v>
      </c>
      <c r="C7" s="7">
        <v>85</v>
      </c>
      <c r="D7" s="7"/>
      <c r="E7" s="7"/>
      <c r="F7" s="7"/>
      <c r="G7" s="7">
        <v>22.1</v>
      </c>
      <c r="H7" s="7"/>
      <c r="I7" s="7">
        <v>458</v>
      </c>
      <c r="J7" s="7"/>
      <c r="K7" s="7"/>
      <c r="L7" s="7"/>
    </row>
    <row r="8">
      <c r="A8" s="7" t="s">
        <v>37</v>
      </c>
      <c r="B8" s="7" t="s">
        <v>38</v>
      </c>
      <c r="C8" s="7">
        <v>350</v>
      </c>
      <c r="D8" s="7"/>
      <c r="E8" s="7"/>
      <c r="F8" s="7"/>
      <c r="G8" s="7">
        <v>69.87</v>
      </c>
      <c r="H8" s="7"/>
      <c r="I8" s="7">
        <v>320</v>
      </c>
      <c r="J8" s="7"/>
      <c r="K8" s="7"/>
      <c r="L8" s="7"/>
    </row>
    <row r="9">
      <c r="A9" s="7" t="s">
        <v>39</v>
      </c>
      <c r="B9" s="7" t="s">
        <v>40</v>
      </c>
      <c r="C9" s="7">
        <v>760</v>
      </c>
      <c r="D9" s="7"/>
      <c r="E9" s="7"/>
      <c r="F9" s="7"/>
      <c r="G9" s="7">
        <v>78.57</v>
      </c>
      <c r="H9" s="7"/>
      <c r="I9" s="7">
        <v>166.3</v>
      </c>
      <c r="J9" s="7"/>
      <c r="K9" s="7"/>
      <c r="L9" s="7"/>
    </row>
    <row r="10">
      <c r="A10" s="7" t="s">
        <v>41</v>
      </c>
      <c r="B10" s="7" t="s">
        <v>40</v>
      </c>
      <c r="C10" s="7">
        <v>1150</v>
      </c>
      <c r="D10" s="7"/>
      <c r="E10" s="7"/>
      <c r="F10" s="7"/>
      <c r="G10" s="7">
        <v>60.77</v>
      </c>
      <c r="H10" s="7"/>
      <c r="I10" s="7">
        <v>77</v>
      </c>
      <c r="J10" s="7"/>
      <c r="K10" s="7"/>
      <c r="L10" s="7"/>
    </row>
    <row r="11">
      <c r="A11" s="7" t="s">
        <v>42</v>
      </c>
      <c r="B11" s="7" t="s">
        <v>38</v>
      </c>
      <c r="C11" s="7">
        <v>700</v>
      </c>
      <c r="D11" s="7"/>
      <c r="E11" s="7"/>
      <c r="F11" s="7"/>
      <c r="G11" s="7">
        <v>67</v>
      </c>
      <c r="H11" s="7"/>
      <c r="I11" s="7">
        <v>155</v>
      </c>
      <c r="J11" s="7"/>
      <c r="K11" s="7"/>
      <c r="L11" s="7"/>
    </row>
    <row r="12">
      <c r="A12" s="7" t="s">
        <v>43</v>
      </c>
      <c r="B12" s="7" t="s">
        <v>40</v>
      </c>
      <c r="C12" s="7">
        <v>900</v>
      </c>
      <c r="D12" s="7"/>
      <c r="E12" s="7"/>
      <c r="F12" s="7"/>
      <c r="G12" s="7">
        <v>52.79</v>
      </c>
      <c r="H12" s="7"/>
      <c r="I12" s="7">
        <v>80</v>
      </c>
      <c r="J12" s="7"/>
      <c r="K12" s="7"/>
      <c r="L12" s="7"/>
    </row>
    <row r="13">
      <c r="A13" s="7" t="s">
        <v>44</v>
      </c>
      <c r="B13" s="7" t="s">
        <v>45</v>
      </c>
      <c r="C13" s="7">
        <v>340</v>
      </c>
      <c r="D13" s="7"/>
      <c r="E13" s="7"/>
      <c r="F13" s="7"/>
      <c r="G13" s="7">
        <v>28.1</v>
      </c>
      <c r="H13" s="7"/>
      <c r="I13" s="7">
        <v>175</v>
      </c>
      <c r="J13" s="7"/>
      <c r="K13" s="7"/>
      <c r="L13" s="7"/>
    </row>
    <row r="14">
      <c r="A14" s="7" t="s">
        <v>46</v>
      </c>
      <c r="B14" s="7" t="s">
        <v>47</v>
      </c>
      <c r="C14" s="7">
        <v>1100</v>
      </c>
      <c r="D14" s="7">
        <v>42</v>
      </c>
      <c r="E14" s="7">
        <v>1.2</v>
      </c>
      <c r="F14" s="7"/>
      <c r="G14" s="7">
        <v>45</v>
      </c>
      <c r="H14" s="7"/>
      <c r="I14" s="7">
        <v>56</v>
      </c>
      <c r="J14" s="7"/>
      <c r="K14" s="7"/>
      <c r="L14" s="7"/>
    </row>
    <row r="15">
      <c r="A15" s="7" t="s">
        <v>48</v>
      </c>
      <c r="B15" s="7" t="s">
        <v>32</v>
      </c>
      <c r="C15" s="7">
        <v>340</v>
      </c>
      <c r="D15" s="7">
        <v>89</v>
      </c>
      <c r="E15" s="7">
        <v>0.8</v>
      </c>
      <c r="F15" s="7"/>
      <c r="G15" s="7">
        <v>30</v>
      </c>
      <c r="H15" s="7"/>
      <c r="I15" s="7">
        <v>135</v>
      </c>
      <c r="J15" s="7"/>
      <c r="K15" s="7"/>
      <c r="L15" s="7"/>
    </row>
    <row r="16">
      <c r="A16" s="7" t="s">
        <v>49</v>
      </c>
      <c r="B16" s="7" t="s">
        <v>50</v>
      </c>
      <c r="C16" s="7">
        <v>850</v>
      </c>
      <c r="D16" s="7"/>
      <c r="E16" s="7"/>
      <c r="F16" s="7"/>
      <c r="G16" s="7">
        <v>19.8</v>
      </c>
      <c r="H16" s="7"/>
      <c r="I16" s="7">
        <v>65</v>
      </c>
      <c r="J16" s="7"/>
      <c r="K16" s="7"/>
      <c r="L16" s="7"/>
    </row>
  </sheetData>
  <autoFilter ref="A1:L16"/>
  <pageMargins left="0.75" right="0.75" top="1" bottom="1" header="0.5" footer="0.5"/>
  <pageSetup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2"/>
  <sheetViews>
    <sheetView workbookViewId="0">
      <pane xSplit="1" ySplit="1" topLeftCell="B180" activePane="bottomRight" state="frozen"/>
      <selection pane="bottomRight" activeCell="D217" sqref="D217"/>
    </sheetView>
  </sheetViews>
  <sheetFormatPr defaultRowHeight="15"/>
  <cols>
    <col min="1" max="1" width="30.00390625" customWidth="1"/>
    <col min="2" max="2" width="18.00390625" customWidth="1"/>
    <col min="3" max="3" width="12.00390625" customWidth="1"/>
    <col min="4" max="7" width="11.00390625" customWidth="1"/>
  </cols>
  <sheetData>
    <row r="1" ht="30" customHeight="1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</row>
    <row r="2">
      <c r="A2" s="7" t="s">
        <v>29</v>
      </c>
      <c r="B2" s="7" t="s">
        <v>58</v>
      </c>
      <c r="C2" s="7">
        <v>33</v>
      </c>
      <c r="D2" s="7">
        <v>1029</v>
      </c>
      <c r="E2" s="7">
        <v>44.4</v>
      </c>
      <c r="F2" s="7">
        <v>2.3</v>
      </c>
      <c r="G2" s="8">
        <f>IF(AND(ISNUMBER(E2),ISNUMBER(F2)),E2*F2,"")</f>
        <v>102.11999999999999</v>
      </c>
    </row>
    <row r="3">
      <c r="A3" s="7" t="s">
        <v>29</v>
      </c>
      <c r="B3" s="7" t="s">
        <v>58</v>
      </c>
      <c r="C3" s="7">
        <v>35</v>
      </c>
      <c r="D3" s="7">
        <v>1184</v>
      </c>
      <c r="E3" s="7">
        <v>44.4</v>
      </c>
      <c r="F3" s="7">
        <v>2.6</v>
      </c>
      <c r="G3" s="8">
        <f>IF(AND(ISNUMBER(E3),ISNUMBER(F3)),E3*F3,"")</f>
        <v>115.44</v>
      </c>
    </row>
    <row r="4">
      <c r="A4" s="7" t="s">
        <v>29</v>
      </c>
      <c r="B4" s="7" t="s">
        <v>58</v>
      </c>
      <c r="C4" s="7">
        <v>37</v>
      </c>
      <c r="D4" s="7">
        <v>1324</v>
      </c>
      <c r="E4" s="7">
        <v>44.4</v>
      </c>
      <c r="F4" s="7">
        <v>3</v>
      </c>
      <c r="G4" s="8">
        <f>IF(AND(ISNUMBER(E4),ISNUMBER(F4)),E4*F4,"")</f>
        <v>133.2</v>
      </c>
    </row>
    <row r="5">
      <c r="A5" s="7" t="s">
        <v>29</v>
      </c>
      <c r="B5" s="7" t="s">
        <v>58</v>
      </c>
      <c r="C5" s="7">
        <v>39</v>
      </c>
      <c r="D5" s="7">
        <v>1454</v>
      </c>
      <c r="E5" s="7">
        <v>44.4</v>
      </c>
      <c r="F5" s="7">
        <v>3.5</v>
      </c>
      <c r="G5" s="8">
        <f>IF(AND(ISNUMBER(E5),ISNUMBER(F5)),E5*F5,"")</f>
        <v>155.4</v>
      </c>
    </row>
    <row r="6">
      <c r="A6" s="7" t="s">
        <v>29</v>
      </c>
      <c r="B6" s="7" t="s">
        <v>58</v>
      </c>
      <c r="C6" s="7">
        <v>42</v>
      </c>
      <c r="D6" s="7">
        <v>1642</v>
      </c>
      <c r="E6" s="7">
        <v>44.4</v>
      </c>
      <c r="F6" s="7">
        <v>4.2</v>
      </c>
      <c r="G6" s="8">
        <f>IF(AND(ISNUMBER(E6),ISNUMBER(F6)),E6*F6,"")</f>
        <v>186.48</v>
      </c>
    </row>
    <row r="7">
      <c r="A7" s="7" t="s">
        <v>29</v>
      </c>
      <c r="B7" s="7" t="s">
        <v>58</v>
      </c>
      <c r="C7" s="7">
        <v>45</v>
      </c>
      <c r="D7" s="7">
        <v>1835</v>
      </c>
      <c r="E7" s="7">
        <v>44.4</v>
      </c>
      <c r="F7" s="7">
        <v>5</v>
      </c>
      <c r="G7" s="8">
        <f>IF(AND(ISNUMBER(E7),ISNUMBER(F7)),E7*F7,"")</f>
        <v>222</v>
      </c>
    </row>
    <row r="8">
      <c r="A8" s="7" t="s">
        <v>29</v>
      </c>
      <c r="B8" s="7" t="s">
        <v>58</v>
      </c>
      <c r="C8" s="7">
        <v>48</v>
      </c>
      <c r="D8" s="7">
        <v>2043</v>
      </c>
      <c r="E8" s="7">
        <v>44.4</v>
      </c>
      <c r="F8" s="7">
        <v>5.9</v>
      </c>
      <c r="G8" s="8">
        <f>IF(AND(ISNUMBER(E8),ISNUMBER(F8)),E8*F8,"")</f>
        <v>261.96</v>
      </c>
    </row>
    <row r="9">
      <c r="A9" s="7" t="s">
        <v>29</v>
      </c>
      <c r="B9" s="7" t="s">
        <v>58</v>
      </c>
      <c r="C9" s="7">
        <v>51</v>
      </c>
      <c r="D9" s="7">
        <v>2272</v>
      </c>
      <c r="E9" s="7">
        <v>44.4</v>
      </c>
      <c r="F9" s="7">
        <v>7</v>
      </c>
      <c r="G9" s="8">
        <f>IF(AND(ISNUMBER(E9),ISNUMBER(F9)),E9*F9,"")</f>
        <v>310.8</v>
      </c>
    </row>
    <row r="10">
      <c r="A10" s="7" t="s">
        <v>29</v>
      </c>
      <c r="B10" s="7" t="s">
        <v>58</v>
      </c>
      <c r="C10" s="7">
        <v>54</v>
      </c>
      <c r="D10" s="7">
        <v>2526</v>
      </c>
      <c r="E10" s="7">
        <v>44.4</v>
      </c>
      <c r="F10" s="7">
        <v>8.3</v>
      </c>
      <c r="G10" s="8">
        <f>IF(AND(ISNUMBER(E10),ISNUMBER(F10)),E10*F10,"")</f>
        <v>368.52000000000004</v>
      </c>
    </row>
    <row r="11">
      <c r="A11" s="7" t="s">
        <v>29</v>
      </c>
      <c r="B11" s="7" t="s">
        <v>58</v>
      </c>
      <c r="C11" s="7">
        <v>57</v>
      </c>
      <c r="D11" s="7">
        <v>2805</v>
      </c>
      <c r="E11" s="7">
        <v>44.4</v>
      </c>
      <c r="F11" s="7">
        <v>9.7</v>
      </c>
      <c r="G11" s="8">
        <f>IF(AND(ISNUMBER(E11),ISNUMBER(F11)),E11*F11,"")</f>
        <v>430.67999999999995</v>
      </c>
    </row>
    <row r="12">
      <c r="A12" s="7" t="s">
        <v>29</v>
      </c>
      <c r="B12" s="7" t="s">
        <v>58</v>
      </c>
      <c r="C12" s="7">
        <v>60</v>
      </c>
      <c r="D12" s="7">
        <v>3108</v>
      </c>
      <c r="E12" s="7">
        <v>44.4</v>
      </c>
      <c r="F12" s="7">
        <v>11.3</v>
      </c>
      <c r="G12" s="8">
        <f>IF(AND(ISNUMBER(E12),ISNUMBER(F12)),E12*F12,"")</f>
        <v>501.72</v>
      </c>
    </row>
    <row r="13">
      <c r="A13" s="7" t="s">
        <v>29</v>
      </c>
      <c r="B13" s="7" t="s">
        <v>58</v>
      </c>
      <c r="C13" s="7">
        <v>63</v>
      </c>
      <c r="D13" s="7">
        <v>3433</v>
      </c>
      <c r="E13" s="7">
        <v>44.4</v>
      </c>
      <c r="F13" s="7">
        <v>13.1</v>
      </c>
      <c r="G13" s="8">
        <f>IF(AND(ISNUMBER(E13),ISNUMBER(F13)),E13*F13,"")</f>
        <v>581.64</v>
      </c>
    </row>
    <row r="14">
      <c r="A14" s="7" t="s">
        <v>29</v>
      </c>
      <c r="B14" s="7" t="s">
        <v>58</v>
      </c>
      <c r="C14" s="7">
        <v>66</v>
      </c>
      <c r="D14" s="7">
        <v>3774</v>
      </c>
      <c r="E14" s="7">
        <v>44.4</v>
      </c>
      <c r="F14" s="7">
        <v>15</v>
      </c>
      <c r="G14" s="8">
        <f>IF(AND(ISNUMBER(E14),ISNUMBER(F14)),E14*F14,"")</f>
        <v>666</v>
      </c>
    </row>
    <row r="15">
      <c r="A15" s="7" t="s">
        <v>29</v>
      </c>
      <c r="B15" s="7" t="s">
        <v>58</v>
      </c>
      <c r="C15" s="7">
        <v>69</v>
      </c>
      <c r="D15" s="7">
        <v>4128</v>
      </c>
      <c r="E15" s="7">
        <v>44.4</v>
      </c>
      <c r="F15" s="7">
        <v>17.2</v>
      </c>
      <c r="G15" s="8">
        <f>IF(AND(ISNUMBER(E15),ISNUMBER(F15)),E15*F15,"")</f>
        <v>763.68</v>
      </c>
    </row>
    <row r="16">
      <c r="A16" s="7" t="s">
        <v>29</v>
      </c>
      <c r="B16" s="7" t="s">
        <v>58</v>
      </c>
      <c r="C16" s="7">
        <v>72</v>
      </c>
      <c r="D16" s="7">
        <v>4488</v>
      </c>
      <c r="E16" s="7">
        <v>44.4</v>
      </c>
      <c r="F16" s="7">
        <v>19.5</v>
      </c>
      <c r="G16" s="8">
        <f>IF(AND(ISNUMBER(E16),ISNUMBER(F16)),E16*F16,"")</f>
        <v>865.8</v>
      </c>
    </row>
    <row r="17">
      <c r="A17" s="7" t="s">
        <v>29</v>
      </c>
      <c r="B17" s="7" t="s">
        <v>58</v>
      </c>
      <c r="C17" s="7">
        <v>75</v>
      </c>
      <c r="D17" s="7">
        <v>4849</v>
      </c>
      <c r="E17" s="7">
        <v>44.4</v>
      </c>
      <c r="F17" s="7">
        <v>22.2</v>
      </c>
      <c r="G17" s="8">
        <f>IF(AND(ISNUMBER(E17),ISNUMBER(F17)),E17*F17,"")</f>
        <v>985.68</v>
      </c>
    </row>
    <row r="18">
      <c r="A18" s="7" t="s">
        <v>29</v>
      </c>
      <c r="B18" s="7" t="s">
        <v>58</v>
      </c>
      <c r="C18" s="7">
        <v>78</v>
      </c>
      <c r="D18" s="7">
        <v>5208</v>
      </c>
      <c r="E18" s="7">
        <v>44.4</v>
      </c>
      <c r="F18" s="7">
        <v>25.2</v>
      </c>
      <c r="G18" s="8">
        <f>IF(AND(ISNUMBER(E18),ISNUMBER(F18)),E18*F18,"")</f>
        <v>1118.8799999999999</v>
      </c>
    </row>
    <row r="19">
      <c r="A19" s="7" t="s">
        <v>29</v>
      </c>
      <c r="B19" s="7" t="s">
        <v>58</v>
      </c>
      <c r="C19" s="7">
        <v>81</v>
      </c>
      <c r="D19" s="7">
        <v>5560</v>
      </c>
      <c r="E19" s="7">
        <v>44.4</v>
      </c>
      <c r="F19" s="7">
        <v>28.4</v>
      </c>
      <c r="G19" s="8">
        <f>IF(AND(ISNUMBER(E19),ISNUMBER(F19)),E19*F19,"")</f>
        <v>1260.9599999999998</v>
      </c>
    </row>
    <row r="20">
      <c r="A20" s="7" t="s">
        <v>29</v>
      </c>
      <c r="B20" s="7" t="s">
        <v>58</v>
      </c>
      <c r="C20" s="7">
        <v>84</v>
      </c>
      <c r="D20" s="7">
        <v>5905</v>
      </c>
      <c r="E20" s="7">
        <v>44.4</v>
      </c>
      <c r="F20" s="7">
        <v>32</v>
      </c>
      <c r="G20" s="8">
        <f>IF(AND(ISNUMBER(E20),ISNUMBER(F20)),E20*F20,"")</f>
        <v>1420.8</v>
      </c>
    </row>
    <row r="21">
      <c r="A21" s="7" t="s">
        <v>29</v>
      </c>
      <c r="B21" s="7" t="s">
        <v>58</v>
      </c>
      <c r="C21" s="7">
        <v>87</v>
      </c>
      <c r="D21" s="7">
        <v>6242</v>
      </c>
      <c r="E21" s="7">
        <v>44.4</v>
      </c>
      <c r="F21" s="7">
        <v>35.8</v>
      </c>
      <c r="G21" s="8">
        <f>IF(AND(ISNUMBER(E21),ISNUMBER(F21)),E21*F21,"")</f>
        <v>1589.5199999999998</v>
      </c>
    </row>
    <row r="22">
      <c r="A22" s="7" t="s">
        <v>29</v>
      </c>
      <c r="B22" s="7" t="s">
        <v>58</v>
      </c>
      <c r="C22" s="7">
        <v>90</v>
      </c>
      <c r="D22" s="7">
        <v>6575</v>
      </c>
      <c r="E22" s="7">
        <v>44.4</v>
      </c>
      <c r="F22" s="7">
        <v>39.9</v>
      </c>
      <c r="G22" s="8">
        <f>IF(AND(ISNUMBER(E22),ISNUMBER(F22)),E22*F22,"")</f>
        <v>1771.56</v>
      </c>
    </row>
    <row r="23">
      <c r="A23" s="7" t="s">
        <v>29</v>
      </c>
      <c r="B23" s="7" t="s">
        <v>58</v>
      </c>
      <c r="C23" s="7">
        <v>100</v>
      </c>
      <c r="D23" s="7">
        <v>7694</v>
      </c>
      <c r="E23" s="7">
        <v>44.4</v>
      </c>
      <c r="F23" s="7">
        <v>55.3</v>
      </c>
      <c r="G23" s="8">
        <f>IF(AND(ISNUMBER(E23),ISNUMBER(F23)),E23*F23,"")</f>
        <v>2455.3199999999997</v>
      </c>
    </row>
    <row r="24">
      <c r="A24" s="7" t="s">
        <v>29</v>
      </c>
      <c r="B24" s="7" t="s">
        <v>59</v>
      </c>
      <c r="C24" s="7">
        <v>33</v>
      </c>
      <c r="D24" s="7">
        <v>834</v>
      </c>
      <c r="E24" s="7">
        <v>44.4</v>
      </c>
      <c r="F24" s="7">
        <v>1.9</v>
      </c>
      <c r="G24" s="8">
        <f>IF(AND(ISNUMBER(E24),ISNUMBER(F24)),E24*F24,"")</f>
        <v>84.36</v>
      </c>
    </row>
    <row r="25">
      <c r="A25" s="7" t="s">
        <v>29</v>
      </c>
      <c r="B25" s="7" t="s">
        <v>59</v>
      </c>
      <c r="C25" s="7">
        <v>35</v>
      </c>
      <c r="D25" s="7">
        <v>951</v>
      </c>
      <c r="E25" s="7">
        <v>44.4</v>
      </c>
      <c r="F25" s="7">
        <v>2.2</v>
      </c>
      <c r="G25" s="8">
        <f>IF(AND(ISNUMBER(E25),ISNUMBER(F25)),E25*F25,"")</f>
        <v>97.68</v>
      </c>
    </row>
    <row r="26">
      <c r="A26" s="7" t="s">
        <v>29</v>
      </c>
      <c r="B26" s="7" t="s">
        <v>59</v>
      </c>
      <c r="C26" s="7">
        <v>37</v>
      </c>
      <c r="D26" s="7">
        <v>1065</v>
      </c>
      <c r="E26" s="7">
        <v>44.4</v>
      </c>
      <c r="F26" s="7">
        <v>2.5</v>
      </c>
      <c r="G26" s="8">
        <f>IF(AND(ISNUMBER(E26),ISNUMBER(F26)),E26*F26,"")</f>
        <v>111</v>
      </c>
    </row>
    <row r="27">
      <c r="A27" s="7" t="s">
        <v>29</v>
      </c>
      <c r="B27" s="7" t="s">
        <v>59</v>
      </c>
      <c r="C27" s="7">
        <v>39</v>
      </c>
      <c r="D27" s="7">
        <v>1177</v>
      </c>
      <c r="E27" s="7">
        <v>44.4</v>
      </c>
      <c r="F27" s="7">
        <v>2.8</v>
      </c>
      <c r="G27" s="8">
        <f>IF(AND(ISNUMBER(E27),ISNUMBER(F27)),E27*F27,"")</f>
        <v>124.32</v>
      </c>
    </row>
    <row r="28">
      <c r="A28" s="7" t="s">
        <v>29</v>
      </c>
      <c r="B28" s="7" t="s">
        <v>59</v>
      </c>
      <c r="C28" s="7">
        <v>42</v>
      </c>
      <c r="D28" s="7">
        <v>1347</v>
      </c>
      <c r="E28" s="7">
        <v>44.4</v>
      </c>
      <c r="F28" s="7">
        <v>3.3</v>
      </c>
      <c r="G28" s="8">
        <f>IF(AND(ISNUMBER(E28),ISNUMBER(F28)),E28*F28,"")</f>
        <v>146.51999999999998</v>
      </c>
    </row>
    <row r="29">
      <c r="A29" s="7" t="s">
        <v>29</v>
      </c>
      <c r="B29" s="7" t="s">
        <v>59</v>
      </c>
      <c r="C29" s="7">
        <v>45</v>
      </c>
      <c r="D29" s="7">
        <v>1526</v>
      </c>
      <c r="E29" s="7">
        <v>44.4</v>
      </c>
      <c r="F29" s="7">
        <v>3.9</v>
      </c>
      <c r="G29" s="8">
        <f>IF(AND(ISNUMBER(E29),ISNUMBER(F29)),E29*F29,"")</f>
        <v>173.16</v>
      </c>
    </row>
    <row r="30">
      <c r="A30" s="7" t="s">
        <v>29</v>
      </c>
      <c r="B30" s="7" t="s">
        <v>59</v>
      </c>
      <c r="C30" s="7">
        <v>48</v>
      </c>
      <c r="D30" s="7">
        <v>1719</v>
      </c>
      <c r="E30" s="7">
        <v>44.4</v>
      </c>
      <c r="F30" s="7">
        <v>4.6</v>
      </c>
      <c r="G30" s="8">
        <f>IF(AND(ISNUMBER(E30),ISNUMBER(F30)),E30*F30,"")</f>
        <v>204.23999999999998</v>
      </c>
    </row>
    <row r="31">
      <c r="A31" s="7" t="s">
        <v>29</v>
      </c>
      <c r="B31" s="7" t="s">
        <v>59</v>
      </c>
      <c r="C31" s="7">
        <v>51</v>
      </c>
      <c r="D31" s="7">
        <v>1928</v>
      </c>
      <c r="E31" s="7">
        <v>44.4</v>
      </c>
      <c r="F31" s="7">
        <v>5.4</v>
      </c>
      <c r="G31" s="8">
        <f>IF(AND(ISNUMBER(E31),ISNUMBER(F31)),E31*F31,"")</f>
        <v>239.76000000000002</v>
      </c>
    </row>
    <row r="32">
      <c r="A32" s="7" t="s">
        <v>29</v>
      </c>
      <c r="B32" s="7" t="s">
        <v>59</v>
      </c>
      <c r="C32" s="7">
        <v>54</v>
      </c>
      <c r="D32" s="7">
        <v>2157</v>
      </c>
      <c r="E32" s="7">
        <v>44.4</v>
      </c>
      <c r="F32" s="7">
        <v>6.3</v>
      </c>
      <c r="G32" s="8">
        <f>IF(AND(ISNUMBER(E32),ISNUMBER(F32)),E32*F32,"")</f>
        <v>279.71999999999997</v>
      </c>
    </row>
    <row r="33">
      <c r="A33" s="7" t="s">
        <v>29</v>
      </c>
      <c r="B33" s="7" t="s">
        <v>59</v>
      </c>
      <c r="C33" s="7">
        <v>57</v>
      </c>
      <c r="D33" s="7">
        <v>2406</v>
      </c>
      <c r="E33" s="7">
        <v>44.4</v>
      </c>
      <c r="F33" s="7">
        <v>7.3</v>
      </c>
      <c r="G33" s="8">
        <f>IF(AND(ISNUMBER(E33),ISNUMBER(F33)),E33*F33,"")</f>
        <v>324.12</v>
      </c>
    </row>
    <row r="34">
      <c r="A34" s="7" t="s">
        <v>29</v>
      </c>
      <c r="B34" s="7" t="s">
        <v>59</v>
      </c>
      <c r="C34" s="7">
        <v>60</v>
      </c>
      <c r="D34" s="7">
        <v>2674</v>
      </c>
      <c r="E34" s="7">
        <v>44.4</v>
      </c>
      <c r="F34" s="7">
        <v>8.5</v>
      </c>
      <c r="G34" s="8">
        <f>IF(AND(ISNUMBER(E34),ISNUMBER(F34)),E34*F34,"")</f>
        <v>377.4</v>
      </c>
    </row>
    <row r="35">
      <c r="A35" s="7" t="s">
        <v>29</v>
      </c>
      <c r="B35" s="7" t="s">
        <v>59</v>
      </c>
      <c r="C35" s="7">
        <v>63</v>
      </c>
      <c r="D35" s="7">
        <v>2960</v>
      </c>
      <c r="E35" s="7">
        <v>44.4</v>
      </c>
      <c r="F35" s="7">
        <v>9.8</v>
      </c>
      <c r="G35" s="8">
        <f>IF(AND(ISNUMBER(E35),ISNUMBER(F35)),E35*F35,"")</f>
        <v>435.12</v>
      </c>
    </row>
    <row r="36">
      <c r="A36" s="7" t="s">
        <v>29</v>
      </c>
      <c r="B36" s="7" t="s">
        <v>59</v>
      </c>
      <c r="C36" s="7">
        <v>66</v>
      </c>
      <c r="D36" s="7">
        <v>3264</v>
      </c>
      <c r="E36" s="7">
        <v>44.4</v>
      </c>
      <c r="F36" s="7">
        <v>11.3</v>
      </c>
      <c r="G36" s="8">
        <f>IF(AND(ISNUMBER(E36),ISNUMBER(F36)),E36*F36,"")</f>
        <v>501.72</v>
      </c>
    </row>
    <row r="37">
      <c r="A37" s="7" t="s">
        <v>29</v>
      </c>
      <c r="B37" s="7" t="s">
        <v>59</v>
      </c>
      <c r="C37" s="7">
        <v>69</v>
      </c>
      <c r="D37" s="7">
        <v>3583</v>
      </c>
      <c r="E37" s="7">
        <v>44.4</v>
      </c>
      <c r="F37" s="7">
        <v>12.9</v>
      </c>
      <c r="G37" s="8">
        <f>IF(AND(ISNUMBER(E37),ISNUMBER(F37)),E37*F37,"")</f>
        <v>572.76</v>
      </c>
    </row>
    <row r="38">
      <c r="A38" s="7" t="s">
        <v>29</v>
      </c>
      <c r="B38" s="7" t="s">
        <v>59</v>
      </c>
      <c r="C38" s="7">
        <v>72</v>
      </c>
      <c r="D38" s="7">
        <v>3915</v>
      </c>
      <c r="E38" s="7">
        <v>44.4</v>
      </c>
      <c r="F38" s="7">
        <v>14.7</v>
      </c>
      <c r="G38" s="8">
        <f>IF(AND(ISNUMBER(E38),ISNUMBER(F38)),E38*F38,"")</f>
        <v>652.68</v>
      </c>
    </row>
    <row r="39">
      <c r="A39" s="7" t="s">
        <v>29</v>
      </c>
      <c r="B39" s="7" t="s">
        <v>59</v>
      </c>
      <c r="C39" s="7">
        <v>75</v>
      </c>
      <c r="D39" s="7">
        <v>4257</v>
      </c>
      <c r="E39" s="7">
        <v>44.4</v>
      </c>
      <c r="F39" s="7">
        <v>16.6</v>
      </c>
      <c r="G39" s="8">
        <f>IF(AND(ISNUMBER(E39),ISNUMBER(F39)),E39*F39,"")</f>
        <v>737.0400000000001</v>
      </c>
    </row>
    <row r="40">
      <c r="A40" s="7" t="s">
        <v>29</v>
      </c>
      <c r="B40" s="7" t="s">
        <v>59</v>
      </c>
      <c r="C40" s="7">
        <v>78</v>
      </c>
      <c r="D40" s="7">
        <v>4608</v>
      </c>
      <c r="E40" s="7">
        <v>44.4</v>
      </c>
      <c r="F40" s="7">
        <v>18.8</v>
      </c>
      <c r="G40" s="8">
        <f>IF(AND(ISNUMBER(E40),ISNUMBER(F40)),E40*F40,"")</f>
        <v>834.72</v>
      </c>
    </row>
    <row r="41">
      <c r="A41" s="7" t="s">
        <v>29</v>
      </c>
      <c r="B41" s="7" t="s">
        <v>59</v>
      </c>
      <c r="C41" s="7">
        <v>81</v>
      </c>
      <c r="D41" s="7">
        <v>4965</v>
      </c>
      <c r="E41" s="7">
        <v>44.4</v>
      </c>
      <c r="F41" s="7">
        <v>21.1</v>
      </c>
      <c r="G41" s="8">
        <f>IF(AND(ISNUMBER(E41),ISNUMBER(F41)),E41*F41,"")</f>
        <v>936.84</v>
      </c>
    </row>
    <row r="42">
      <c r="A42" s="7" t="s">
        <v>29</v>
      </c>
      <c r="B42" s="7" t="s">
        <v>59</v>
      </c>
      <c r="C42" s="7">
        <v>84</v>
      </c>
      <c r="D42" s="7">
        <v>5327</v>
      </c>
      <c r="E42" s="7">
        <v>44.4</v>
      </c>
      <c r="F42" s="7">
        <v>23.6</v>
      </c>
      <c r="G42" s="8">
        <f>IF(AND(ISNUMBER(E42),ISNUMBER(F42)),E42*F42,"")</f>
        <v>1047.84</v>
      </c>
    </row>
    <row r="43">
      <c r="A43" s="7" t="s">
        <v>29</v>
      </c>
      <c r="B43" s="7" t="s">
        <v>59</v>
      </c>
      <c r="C43" s="7">
        <v>87</v>
      </c>
      <c r="D43" s="7">
        <v>5694</v>
      </c>
      <c r="E43" s="7">
        <v>44.4</v>
      </c>
      <c r="F43" s="7">
        <v>26.3</v>
      </c>
      <c r="G43" s="8">
        <f>IF(AND(ISNUMBER(E43),ISNUMBER(F43)),E43*F43,"")</f>
        <v>1167.72</v>
      </c>
    </row>
    <row r="44">
      <c r="A44" s="7" t="s">
        <v>29</v>
      </c>
      <c r="B44" s="7" t="s">
        <v>59</v>
      </c>
      <c r="C44" s="7">
        <v>90</v>
      </c>
      <c r="D44" s="7">
        <v>6065</v>
      </c>
      <c r="E44" s="7">
        <v>44.4</v>
      </c>
      <c r="F44" s="7">
        <v>29.2</v>
      </c>
      <c r="G44" s="8">
        <f>IF(AND(ISNUMBER(E44),ISNUMBER(F44)),E44*F44,"")</f>
        <v>1296.48</v>
      </c>
    </row>
    <row r="45">
      <c r="A45" s="7" t="s">
        <v>29</v>
      </c>
      <c r="B45" s="7" t="s">
        <v>59</v>
      </c>
      <c r="C45" s="7">
        <v>100</v>
      </c>
      <c r="D45" s="7">
        <v>7291</v>
      </c>
      <c r="E45" s="7">
        <v>44.4</v>
      </c>
      <c r="F45" s="7">
        <v>40.3</v>
      </c>
      <c r="G45" s="8">
        <f>IF(AND(ISNUMBER(E45),ISNUMBER(F45)),E45*F45,"")</f>
        <v>1789.3199999999997</v>
      </c>
    </row>
    <row r="46">
      <c r="A46" s="7" t="s">
        <v>31</v>
      </c>
      <c r="B46" s="7" t="s">
        <v>60</v>
      </c>
      <c r="C46" s="7">
        <v>40</v>
      </c>
      <c r="D46" s="7">
        <v>1253</v>
      </c>
      <c r="E46" s="7">
        <v>44.2</v>
      </c>
      <c r="F46" s="7">
        <v>3.25</v>
      </c>
      <c r="G46" s="8">
        <f>IF(AND(ISNUMBER(E46),ISNUMBER(F46)),E46*F46,"")</f>
        <v>143.65</v>
      </c>
    </row>
    <row r="47">
      <c r="A47" s="7" t="s">
        <v>31</v>
      </c>
      <c r="B47" s="7" t="s">
        <v>60</v>
      </c>
      <c r="C47" s="7">
        <v>45</v>
      </c>
      <c r="D47" s="7">
        <v>1485</v>
      </c>
      <c r="E47" s="7">
        <v>44.2</v>
      </c>
      <c r="F47" s="7">
        <v>3.99</v>
      </c>
      <c r="G47" s="8">
        <f>IF(AND(ISNUMBER(E47),ISNUMBER(F47)),E47*F47,"")</f>
        <v>176.35800000000003</v>
      </c>
    </row>
    <row r="48">
      <c r="A48" s="7" t="s">
        <v>31</v>
      </c>
      <c r="B48" s="7" t="s">
        <v>60</v>
      </c>
      <c r="C48" s="7">
        <v>50</v>
      </c>
      <c r="D48" s="7">
        <v>1899</v>
      </c>
      <c r="E48" s="7">
        <v>44.2</v>
      </c>
      <c r="F48" s="7">
        <v>5.53</v>
      </c>
      <c r="G48" s="8">
        <f>IF(AND(ISNUMBER(E48),ISNUMBER(F48)),E48*F48,"")</f>
        <v>244.42600000000002</v>
      </c>
    </row>
    <row r="49">
      <c r="A49" s="7" t="s">
        <v>31</v>
      </c>
      <c r="B49" s="7" t="s">
        <v>60</v>
      </c>
      <c r="C49" s="7">
        <v>55</v>
      </c>
      <c r="D49" s="7">
        <v>2422</v>
      </c>
      <c r="E49" s="7">
        <v>44.2</v>
      </c>
      <c r="F49" s="7">
        <v>7.96</v>
      </c>
      <c r="G49" s="8">
        <f>IF(AND(ISNUMBER(E49),ISNUMBER(F49)),E49*F49,"")</f>
        <v>351.832</v>
      </c>
    </row>
    <row r="50">
      <c r="A50" s="7" t="s">
        <v>31</v>
      </c>
      <c r="B50" s="7" t="s">
        <v>60</v>
      </c>
      <c r="C50" s="7">
        <v>60</v>
      </c>
      <c r="D50" s="7">
        <v>2859</v>
      </c>
      <c r="E50" s="7">
        <v>44.2</v>
      </c>
      <c r="F50" s="7">
        <v>10.12</v>
      </c>
      <c r="G50" s="8">
        <f>IF(AND(ISNUMBER(E50),ISNUMBER(F50)),E50*F50,"")</f>
        <v>447.304</v>
      </c>
    </row>
    <row r="51">
      <c r="A51" s="7" t="s">
        <v>31</v>
      </c>
      <c r="B51" s="7" t="s">
        <v>60</v>
      </c>
      <c r="C51" s="7">
        <v>65</v>
      </c>
      <c r="D51" s="7">
        <v>3392</v>
      </c>
      <c r="E51" s="7">
        <v>44.2</v>
      </c>
      <c r="F51" s="7">
        <v>12.62</v>
      </c>
      <c r="G51" s="8">
        <f>IF(AND(ISNUMBER(E51),ISNUMBER(F51)),E51*F51,"")</f>
        <v>557.804</v>
      </c>
    </row>
    <row r="52">
      <c r="A52" s="7" t="s">
        <v>31</v>
      </c>
      <c r="B52" s="7" t="s">
        <v>60</v>
      </c>
      <c r="C52" s="7">
        <v>70</v>
      </c>
      <c r="D52" s="7">
        <v>3852</v>
      </c>
      <c r="E52" s="7">
        <v>44.2</v>
      </c>
      <c r="F52" s="7">
        <v>15.97</v>
      </c>
      <c r="G52" s="8">
        <f>IF(AND(ISNUMBER(E52),ISNUMBER(F52)),E52*F52,"")</f>
        <v>705.874</v>
      </c>
    </row>
    <row r="53">
      <c r="A53" s="7" t="s">
        <v>31</v>
      </c>
      <c r="B53" s="7" t="s">
        <v>60</v>
      </c>
      <c r="C53" s="7">
        <v>75</v>
      </c>
      <c r="D53" s="7">
        <v>4379</v>
      </c>
      <c r="E53" s="7">
        <v>44.2</v>
      </c>
      <c r="F53" s="7">
        <v>19.57</v>
      </c>
      <c r="G53" s="8">
        <f>IF(AND(ISNUMBER(E53),ISNUMBER(F53)),E53*F53,"")</f>
        <v>864.994</v>
      </c>
    </row>
    <row r="54">
      <c r="A54" s="7" t="s">
        <v>31</v>
      </c>
      <c r="B54" s="7" t="s">
        <v>60</v>
      </c>
      <c r="C54" s="7">
        <v>80</v>
      </c>
      <c r="D54" s="7">
        <v>5016</v>
      </c>
      <c r="E54" s="7">
        <v>44.2</v>
      </c>
      <c r="F54" s="7">
        <v>24.05</v>
      </c>
      <c r="G54" s="8">
        <f>IF(AND(ISNUMBER(E54),ISNUMBER(F54)),E54*F54,"")</f>
        <v>1063.01</v>
      </c>
    </row>
    <row r="55">
      <c r="A55" s="7" t="s">
        <v>31</v>
      </c>
      <c r="B55" s="7" t="s">
        <v>60</v>
      </c>
      <c r="C55" s="7">
        <v>90</v>
      </c>
      <c r="D55" s="7">
        <v>5952</v>
      </c>
      <c r="E55" s="7">
        <v>44.2</v>
      </c>
      <c r="F55" s="7">
        <v>32.7</v>
      </c>
      <c r="G55" s="8">
        <f>IF(AND(ISNUMBER(E55),ISNUMBER(F55)),E55*F55,"")</f>
        <v>1445.3400000000001</v>
      </c>
    </row>
    <row r="56">
      <c r="A56" s="7" t="s">
        <v>31</v>
      </c>
      <c r="B56" s="7" t="s">
        <v>60</v>
      </c>
      <c r="C56" s="7">
        <v>100</v>
      </c>
      <c r="D56" s="7">
        <v>6717</v>
      </c>
      <c r="E56" s="7">
        <v>44.2</v>
      </c>
      <c r="F56" s="7">
        <v>45.73</v>
      </c>
      <c r="G56" s="8">
        <f>IF(AND(ISNUMBER(E56),ISNUMBER(F56)),E56*F56,"")</f>
        <v>2021.266</v>
      </c>
    </row>
    <row r="57">
      <c r="A57" s="7" t="s">
        <v>33</v>
      </c>
      <c r="B57" s="7" t="s">
        <v>61</v>
      </c>
      <c r="C57" s="7">
        <v>40</v>
      </c>
      <c r="D57" s="7">
        <v>2416</v>
      </c>
      <c r="E57" s="7">
        <v>46</v>
      </c>
      <c r="F57" s="7">
        <v>4.6</v>
      </c>
      <c r="G57" s="8">
        <f>IF(AND(ISNUMBER(E57),ISNUMBER(F57)),E57*F57,"")</f>
        <v>211.6</v>
      </c>
    </row>
    <row r="58">
      <c r="A58" s="7" t="s">
        <v>33</v>
      </c>
      <c r="B58" s="7" t="s">
        <v>61</v>
      </c>
      <c r="C58" s="7">
        <v>42</v>
      </c>
      <c r="D58" s="7">
        <v>2732</v>
      </c>
      <c r="E58" s="7">
        <v>46</v>
      </c>
      <c r="F58" s="7">
        <v>5.5</v>
      </c>
      <c r="G58" s="8">
        <f>IF(AND(ISNUMBER(E58),ISNUMBER(F58)),E58*F58,"")</f>
        <v>253</v>
      </c>
    </row>
    <row r="59">
      <c r="A59" s="7" t="s">
        <v>33</v>
      </c>
      <c r="B59" s="7" t="s">
        <v>61</v>
      </c>
      <c r="C59" s="7">
        <v>44</v>
      </c>
      <c r="D59" s="7">
        <v>3058</v>
      </c>
      <c r="E59" s="7">
        <v>46</v>
      </c>
      <c r="F59" s="7">
        <v>6.4</v>
      </c>
      <c r="G59" s="8">
        <f>IF(AND(ISNUMBER(E59),ISNUMBER(F59)),E59*F59,"")</f>
        <v>294.40000000000003</v>
      </c>
    </row>
    <row r="60">
      <c r="A60" s="7" t="s">
        <v>33</v>
      </c>
      <c r="B60" s="7" t="s">
        <v>61</v>
      </c>
      <c r="C60" s="7">
        <v>46</v>
      </c>
      <c r="D60" s="7">
        <v>3377</v>
      </c>
      <c r="E60" s="7">
        <v>46</v>
      </c>
      <c r="F60" s="7">
        <v>7.4</v>
      </c>
      <c r="G60" s="8">
        <f>IF(AND(ISNUMBER(E60),ISNUMBER(F60)),E60*F60,"")</f>
        <v>340.40000000000003</v>
      </c>
    </row>
    <row r="61">
      <c r="A61" s="7" t="s">
        <v>33</v>
      </c>
      <c r="B61" s="7" t="s">
        <v>61</v>
      </c>
      <c r="C61" s="7">
        <v>48</v>
      </c>
      <c r="D61" s="7">
        <v>3746</v>
      </c>
      <c r="E61" s="7">
        <v>46</v>
      </c>
      <c r="F61" s="7">
        <v>8.7</v>
      </c>
      <c r="G61" s="8">
        <f>IF(AND(ISNUMBER(E61),ISNUMBER(F61)),E61*F61,"")</f>
        <v>400.2</v>
      </c>
    </row>
    <row r="62">
      <c r="A62" s="7" t="s">
        <v>33</v>
      </c>
      <c r="B62" s="7" t="s">
        <v>61</v>
      </c>
      <c r="C62" s="7">
        <v>50</v>
      </c>
      <c r="D62" s="7">
        <v>4106</v>
      </c>
      <c r="E62" s="7">
        <v>46</v>
      </c>
      <c r="F62" s="7">
        <v>9.9</v>
      </c>
      <c r="G62" s="8">
        <f>IF(AND(ISNUMBER(E62),ISNUMBER(F62)),E62*F62,"")</f>
        <v>455.40000000000003</v>
      </c>
    </row>
    <row r="63">
      <c r="A63" s="7" t="s">
        <v>33</v>
      </c>
      <c r="B63" s="7" t="s">
        <v>61</v>
      </c>
      <c r="C63" s="7">
        <v>52</v>
      </c>
      <c r="D63" s="7">
        <v>4419</v>
      </c>
      <c r="E63" s="7">
        <v>46</v>
      </c>
      <c r="F63" s="7">
        <v>11.2</v>
      </c>
      <c r="G63" s="8">
        <f>IF(AND(ISNUMBER(E63),ISNUMBER(F63)),E63*F63,"")</f>
        <v>515.1999999999999</v>
      </c>
    </row>
    <row r="64">
      <c r="A64" s="7" t="s">
        <v>33</v>
      </c>
      <c r="B64" s="7" t="s">
        <v>61</v>
      </c>
      <c r="C64" s="7">
        <v>54</v>
      </c>
      <c r="D64" s="7">
        <v>4822</v>
      </c>
      <c r="E64" s="7">
        <v>46</v>
      </c>
      <c r="F64" s="7">
        <v>12.5</v>
      </c>
      <c r="G64" s="8">
        <f>IF(AND(ISNUMBER(E64),ISNUMBER(F64)),E64*F64,"")</f>
        <v>575</v>
      </c>
    </row>
    <row r="65">
      <c r="A65" s="7" t="s">
        <v>33</v>
      </c>
      <c r="B65" s="7" t="s">
        <v>61</v>
      </c>
      <c r="C65" s="7">
        <v>56</v>
      </c>
      <c r="D65" s="7">
        <v>5209</v>
      </c>
      <c r="E65" s="7">
        <v>46</v>
      </c>
      <c r="F65" s="7">
        <v>14.1</v>
      </c>
      <c r="G65" s="8">
        <f>IF(AND(ISNUMBER(E65),ISNUMBER(F65)),E65*F65,"")</f>
        <v>648.6</v>
      </c>
    </row>
    <row r="66">
      <c r="A66" s="7" t="s">
        <v>33</v>
      </c>
      <c r="B66" s="7" t="s">
        <v>61</v>
      </c>
      <c r="C66" s="7">
        <v>58</v>
      </c>
      <c r="D66" s="7">
        <v>5476</v>
      </c>
      <c r="E66" s="7">
        <v>46</v>
      </c>
      <c r="F66" s="7">
        <v>15.6</v>
      </c>
      <c r="G66" s="8">
        <f>IF(AND(ISNUMBER(E66),ISNUMBER(F66)),E66*F66,"")</f>
        <v>717.6</v>
      </c>
    </row>
    <row r="67">
      <c r="A67" s="7" t="s">
        <v>33</v>
      </c>
      <c r="B67" s="7" t="s">
        <v>61</v>
      </c>
      <c r="C67" s="7">
        <v>60</v>
      </c>
      <c r="D67" s="7">
        <v>5947</v>
      </c>
      <c r="E67" s="7">
        <v>46</v>
      </c>
      <c r="F67" s="7">
        <v>17.3</v>
      </c>
      <c r="G67" s="8">
        <f>IF(AND(ISNUMBER(E67),ISNUMBER(F67)),E67*F67,"")</f>
        <v>795.8000000000001</v>
      </c>
    </row>
    <row r="68">
      <c r="A68" s="7" t="s">
        <v>33</v>
      </c>
      <c r="B68" s="7" t="s">
        <v>61</v>
      </c>
      <c r="C68" s="7">
        <v>62</v>
      </c>
      <c r="D68" s="7">
        <v>6370</v>
      </c>
      <c r="E68" s="7">
        <v>46</v>
      </c>
      <c r="F68" s="7">
        <v>19.1</v>
      </c>
      <c r="G68" s="8">
        <f>IF(AND(ISNUMBER(E68),ISNUMBER(F68)),E68*F68,"")</f>
        <v>878.6</v>
      </c>
    </row>
    <row r="69">
      <c r="A69" s="7" t="s">
        <v>33</v>
      </c>
      <c r="B69" s="7" t="s">
        <v>61</v>
      </c>
      <c r="C69" s="7">
        <v>64</v>
      </c>
      <c r="D69" s="7">
        <v>6709</v>
      </c>
      <c r="E69" s="7">
        <v>46</v>
      </c>
      <c r="F69" s="7">
        <v>20.7</v>
      </c>
      <c r="G69" s="8">
        <f>IF(AND(ISNUMBER(E69),ISNUMBER(F69)),E69*F69,"")</f>
        <v>952.1999999999999</v>
      </c>
    </row>
    <row r="70">
      <c r="A70" s="7" t="s">
        <v>33</v>
      </c>
      <c r="B70" s="7" t="s">
        <v>61</v>
      </c>
      <c r="C70" s="7">
        <v>66</v>
      </c>
      <c r="D70" s="7">
        <v>7086</v>
      </c>
      <c r="E70" s="7">
        <v>46</v>
      </c>
      <c r="F70" s="7">
        <v>22.6</v>
      </c>
      <c r="G70" s="8">
        <f>IF(AND(ISNUMBER(E70),ISNUMBER(F70)),E70*F70,"")</f>
        <v>1039.6000000000001</v>
      </c>
    </row>
    <row r="71">
      <c r="A71" s="7" t="s">
        <v>33</v>
      </c>
      <c r="B71" s="7" t="s">
        <v>61</v>
      </c>
      <c r="C71" s="7">
        <v>68</v>
      </c>
      <c r="D71" s="7">
        <v>7501</v>
      </c>
      <c r="E71" s="7">
        <v>46</v>
      </c>
      <c r="F71" s="7">
        <v>24.9</v>
      </c>
      <c r="G71" s="8">
        <f>IF(AND(ISNUMBER(E71),ISNUMBER(F71)),E71*F71,"")</f>
        <v>1145.3999999999999</v>
      </c>
    </row>
    <row r="72">
      <c r="A72" s="7" t="s">
        <v>33</v>
      </c>
      <c r="B72" s="7" t="s">
        <v>61</v>
      </c>
      <c r="C72" s="7">
        <v>70</v>
      </c>
      <c r="D72" s="7">
        <v>7779</v>
      </c>
      <c r="E72" s="7">
        <v>46</v>
      </c>
      <c r="F72" s="7">
        <v>26.6</v>
      </c>
      <c r="G72" s="8">
        <f>IF(AND(ISNUMBER(E72),ISNUMBER(F72)),E72*F72,"")</f>
        <v>1223.6000000000001</v>
      </c>
    </row>
    <row r="73">
      <c r="A73" s="7" t="s">
        <v>33</v>
      </c>
      <c r="B73" s="7" t="s">
        <v>61</v>
      </c>
      <c r="C73" s="7">
        <v>72</v>
      </c>
      <c r="D73" s="7">
        <v>8238</v>
      </c>
      <c r="E73" s="7">
        <v>46</v>
      </c>
      <c r="F73" s="7">
        <v>28.8</v>
      </c>
      <c r="G73" s="8">
        <f>IF(AND(ISNUMBER(E73),ISNUMBER(F73)),E73*F73,"")</f>
        <v>1324.8</v>
      </c>
    </row>
    <row r="74">
      <c r="A74" s="7" t="s">
        <v>33</v>
      </c>
      <c r="B74" s="7" t="s">
        <v>61</v>
      </c>
      <c r="C74" s="7">
        <v>74</v>
      </c>
      <c r="D74" s="7">
        <v>8654</v>
      </c>
      <c r="E74" s="7">
        <v>46</v>
      </c>
      <c r="F74" s="7">
        <v>31</v>
      </c>
      <c r="G74" s="8">
        <f>IF(AND(ISNUMBER(E74),ISNUMBER(F74)),E74*F74,"")</f>
        <v>1426</v>
      </c>
    </row>
    <row r="75">
      <c r="A75" s="7" t="s">
        <v>33</v>
      </c>
      <c r="B75" s="7" t="s">
        <v>61</v>
      </c>
      <c r="C75" s="7">
        <v>76</v>
      </c>
      <c r="D75" s="7">
        <v>9016</v>
      </c>
      <c r="E75" s="7">
        <v>46</v>
      </c>
      <c r="F75" s="7">
        <v>32.7</v>
      </c>
      <c r="G75" s="8">
        <f>IF(AND(ISNUMBER(E75),ISNUMBER(F75)),E75*F75,"")</f>
        <v>1504.2</v>
      </c>
    </row>
    <row r="76">
      <c r="A76" s="7" t="s">
        <v>33</v>
      </c>
      <c r="B76" s="7" t="s">
        <v>61</v>
      </c>
      <c r="C76" s="7">
        <v>78</v>
      </c>
      <c r="D76" s="7">
        <v>9294</v>
      </c>
      <c r="E76" s="7">
        <v>46</v>
      </c>
      <c r="F76" s="7">
        <v>35.1</v>
      </c>
      <c r="G76" s="8">
        <f>IF(AND(ISNUMBER(E76),ISNUMBER(F76)),E76*F76,"")</f>
        <v>1614.6000000000001</v>
      </c>
    </row>
    <row r="77">
      <c r="A77" s="7" t="s">
        <v>33</v>
      </c>
      <c r="B77" s="7" t="s">
        <v>61</v>
      </c>
      <c r="C77" s="7">
        <v>80</v>
      </c>
      <c r="D77" s="7">
        <v>9782</v>
      </c>
      <c r="E77" s="7">
        <v>46</v>
      </c>
      <c r="F77" s="7">
        <v>37.6</v>
      </c>
      <c r="G77" s="8">
        <f>IF(AND(ISNUMBER(E77),ISNUMBER(F77)),E77*F77,"")</f>
        <v>1729.6000000000001</v>
      </c>
    </row>
    <row r="78">
      <c r="A78" s="7" t="s">
        <v>33</v>
      </c>
      <c r="B78" s="7" t="s">
        <v>61</v>
      </c>
      <c r="C78" s="7">
        <v>90</v>
      </c>
      <c r="D78" s="7">
        <v>10731</v>
      </c>
      <c r="E78" s="7">
        <v>46</v>
      </c>
      <c r="F78" s="7">
        <v>43.6</v>
      </c>
      <c r="G78" s="8">
        <f>IF(AND(ISNUMBER(E78),ISNUMBER(F78)),E78*F78,"")</f>
        <v>2005.6000000000001</v>
      </c>
    </row>
    <row r="79">
      <c r="A79" s="7" t="s">
        <v>33</v>
      </c>
      <c r="B79" s="7" t="s">
        <v>61</v>
      </c>
      <c r="C79" s="7">
        <v>100</v>
      </c>
      <c r="D79" s="7">
        <v>11822</v>
      </c>
      <c r="E79" s="7">
        <v>46</v>
      </c>
      <c r="F79" s="7">
        <v>51.8</v>
      </c>
      <c r="G79" s="8">
        <f>IF(AND(ISNUMBER(E79),ISNUMBER(F79)),E79*F79,"")</f>
        <v>2382.7999999999997</v>
      </c>
    </row>
    <row r="80">
      <c r="A80" s="7" t="s">
        <v>34</v>
      </c>
      <c r="B80" s="7" t="s">
        <v>62</v>
      </c>
      <c r="C80" s="7">
        <v>30</v>
      </c>
      <c r="D80" s="7">
        <v>805</v>
      </c>
      <c r="E80" s="7">
        <v>48</v>
      </c>
      <c r="F80" s="7">
        <v>1.3</v>
      </c>
      <c r="G80" s="8">
        <f>IF(AND(ISNUMBER(E80),ISNUMBER(F80)),E80*F80,"")</f>
        <v>62.400000000000006</v>
      </c>
    </row>
    <row r="81">
      <c r="A81" s="7" t="s">
        <v>34</v>
      </c>
      <c r="B81" s="7" t="s">
        <v>62</v>
      </c>
      <c r="C81" s="7">
        <v>33</v>
      </c>
      <c r="D81" s="7">
        <v>955</v>
      </c>
      <c r="E81" s="7">
        <v>48</v>
      </c>
      <c r="F81" s="7">
        <v>1.6</v>
      </c>
      <c r="G81" s="8">
        <f>IF(AND(ISNUMBER(E81),ISNUMBER(F81)),E81*F81,"")</f>
        <v>76.80000000000001</v>
      </c>
    </row>
    <row r="82">
      <c r="A82" s="7" t="s">
        <v>34</v>
      </c>
      <c r="B82" s="7" t="s">
        <v>62</v>
      </c>
      <c r="C82" s="7">
        <v>36</v>
      </c>
      <c r="D82" s="7">
        <v>1175</v>
      </c>
      <c r="E82" s="7">
        <v>48</v>
      </c>
      <c r="F82" s="7">
        <v>2</v>
      </c>
      <c r="G82" s="8">
        <f>IF(AND(ISNUMBER(E82),ISNUMBER(F82)),E82*F82,"")</f>
        <v>96</v>
      </c>
    </row>
    <row r="83">
      <c r="A83" s="7" t="s">
        <v>34</v>
      </c>
      <c r="B83" s="7" t="s">
        <v>62</v>
      </c>
      <c r="C83" s="7">
        <v>39</v>
      </c>
      <c r="D83" s="7">
        <v>1385</v>
      </c>
      <c r="E83" s="7">
        <v>48</v>
      </c>
      <c r="F83" s="7">
        <v>2.4</v>
      </c>
      <c r="G83" s="8">
        <f>IF(AND(ISNUMBER(E83),ISNUMBER(F83)),E83*F83,"")</f>
        <v>115.19999999999999</v>
      </c>
    </row>
    <row r="84">
      <c r="A84" s="7" t="s">
        <v>34</v>
      </c>
      <c r="B84" s="7" t="s">
        <v>62</v>
      </c>
      <c r="C84" s="7">
        <v>42</v>
      </c>
      <c r="D84" s="7">
        <v>1635</v>
      </c>
      <c r="E84" s="7">
        <v>48</v>
      </c>
      <c r="F84" s="7">
        <v>3</v>
      </c>
      <c r="G84" s="8">
        <f>IF(AND(ISNUMBER(E84),ISNUMBER(F84)),E84*F84,"")</f>
        <v>144</v>
      </c>
    </row>
    <row r="85">
      <c r="A85" s="7" t="s">
        <v>34</v>
      </c>
      <c r="B85" s="7" t="s">
        <v>62</v>
      </c>
      <c r="C85" s="7">
        <v>45</v>
      </c>
      <c r="D85" s="7">
        <v>1895</v>
      </c>
      <c r="E85" s="7">
        <v>48</v>
      </c>
      <c r="F85" s="7">
        <v>3.7</v>
      </c>
      <c r="G85" s="8">
        <f>IF(AND(ISNUMBER(E85),ISNUMBER(F85)),E85*F85,"")</f>
        <v>177.60000000000002</v>
      </c>
    </row>
    <row r="86">
      <c r="A86" s="7" t="s">
        <v>34</v>
      </c>
      <c r="B86" s="7" t="s">
        <v>62</v>
      </c>
      <c r="C86" s="7">
        <v>48</v>
      </c>
      <c r="D86" s="7">
        <v>2235</v>
      </c>
      <c r="E86" s="7">
        <v>48</v>
      </c>
      <c r="F86" s="7">
        <v>4.7</v>
      </c>
      <c r="G86" s="8">
        <f>IF(AND(ISNUMBER(E86),ISNUMBER(F86)),E86*F86,"")</f>
        <v>225.60000000000002</v>
      </c>
    </row>
    <row r="87">
      <c r="A87" s="7" t="s">
        <v>34</v>
      </c>
      <c r="B87" s="7" t="s">
        <v>62</v>
      </c>
      <c r="C87" s="7">
        <v>51</v>
      </c>
      <c r="D87" s="7">
        <v>2505</v>
      </c>
      <c r="E87" s="7">
        <v>48</v>
      </c>
      <c r="F87" s="7">
        <v>5.6</v>
      </c>
      <c r="G87" s="8">
        <f>IF(AND(ISNUMBER(E87),ISNUMBER(F87)),E87*F87,"")</f>
        <v>268.79999999999995</v>
      </c>
    </row>
    <row r="88">
      <c r="A88" s="7" t="s">
        <v>34</v>
      </c>
      <c r="B88" s="7" t="s">
        <v>62</v>
      </c>
      <c r="C88" s="7">
        <v>54</v>
      </c>
      <c r="D88" s="7">
        <v>2765</v>
      </c>
      <c r="E88" s="7">
        <v>48</v>
      </c>
      <c r="F88" s="7">
        <v>6.4</v>
      </c>
      <c r="G88" s="8">
        <f>IF(AND(ISNUMBER(E88),ISNUMBER(F88)),E88*F88,"")</f>
        <v>307.20000000000005</v>
      </c>
    </row>
    <row r="89">
      <c r="A89" s="7" t="s">
        <v>34</v>
      </c>
      <c r="B89" s="7" t="s">
        <v>62</v>
      </c>
      <c r="C89" s="7">
        <v>57</v>
      </c>
      <c r="D89" s="7">
        <v>3060</v>
      </c>
      <c r="E89" s="7">
        <v>48</v>
      </c>
      <c r="F89" s="7">
        <v>7.5</v>
      </c>
      <c r="G89" s="8">
        <f>IF(AND(ISNUMBER(E89),ISNUMBER(F89)),E89*F89,"")</f>
        <v>360</v>
      </c>
    </row>
    <row r="90">
      <c r="A90" s="7" t="s">
        <v>34</v>
      </c>
      <c r="B90" s="7" t="s">
        <v>62</v>
      </c>
      <c r="C90" s="7">
        <v>60</v>
      </c>
      <c r="D90" s="7">
        <v>3300</v>
      </c>
      <c r="E90" s="7">
        <v>48</v>
      </c>
      <c r="F90" s="7">
        <v>8.3</v>
      </c>
      <c r="G90" s="8">
        <f>IF(AND(ISNUMBER(E90),ISNUMBER(F90)),E90*F90,"")</f>
        <v>398.40000000000003</v>
      </c>
    </row>
    <row r="91">
      <c r="A91" s="7" t="s">
        <v>34</v>
      </c>
      <c r="B91" s="7" t="s">
        <v>62</v>
      </c>
      <c r="C91" s="7">
        <v>63</v>
      </c>
      <c r="D91" s="7">
        <v>3695</v>
      </c>
      <c r="E91" s="7">
        <v>48</v>
      </c>
      <c r="F91" s="7">
        <v>9.8</v>
      </c>
      <c r="G91" s="8">
        <f>IF(AND(ISNUMBER(E91),ISNUMBER(F91)),E91*F91,"")</f>
        <v>470.40000000000003</v>
      </c>
    </row>
    <row r="92">
      <c r="A92" s="7" t="s">
        <v>34</v>
      </c>
      <c r="B92" s="7" t="s">
        <v>62</v>
      </c>
      <c r="C92" s="7">
        <v>66</v>
      </c>
      <c r="D92" s="7">
        <v>3935</v>
      </c>
      <c r="E92" s="7">
        <v>48</v>
      </c>
      <c r="F92" s="7">
        <v>10.7</v>
      </c>
      <c r="G92" s="8">
        <f>IF(AND(ISNUMBER(E92),ISNUMBER(F92)),E92*F92,"")</f>
        <v>513.5999999999999</v>
      </c>
    </row>
    <row r="93">
      <c r="A93" s="7" t="s">
        <v>34</v>
      </c>
      <c r="B93" s="7" t="s">
        <v>62</v>
      </c>
      <c r="C93" s="7">
        <v>69</v>
      </c>
      <c r="D93" s="7">
        <v>4305</v>
      </c>
      <c r="E93" s="7">
        <v>48</v>
      </c>
      <c r="F93" s="7">
        <v>12.2</v>
      </c>
      <c r="G93" s="8">
        <f>IF(AND(ISNUMBER(E93),ISNUMBER(F93)),E93*F93,"")</f>
        <v>585.5999999999999</v>
      </c>
    </row>
    <row r="94">
      <c r="A94" s="7" t="s">
        <v>34</v>
      </c>
      <c r="B94" s="7" t="s">
        <v>62</v>
      </c>
      <c r="C94" s="7">
        <v>72</v>
      </c>
      <c r="D94" s="7">
        <v>4575</v>
      </c>
      <c r="E94" s="7">
        <v>48</v>
      </c>
      <c r="F94" s="7">
        <v>13.4</v>
      </c>
      <c r="G94" s="8">
        <f>IF(AND(ISNUMBER(E94),ISNUMBER(F94)),E94*F94,"")</f>
        <v>643.2</v>
      </c>
    </row>
    <row r="95">
      <c r="A95" s="7" t="s">
        <v>34</v>
      </c>
      <c r="B95" s="7" t="s">
        <v>62</v>
      </c>
      <c r="C95" s="7">
        <v>75</v>
      </c>
      <c r="D95" s="7">
        <v>4820</v>
      </c>
      <c r="E95" s="7">
        <v>48</v>
      </c>
      <c r="F95" s="7">
        <v>14.4</v>
      </c>
      <c r="G95" s="8">
        <f>IF(AND(ISNUMBER(E95),ISNUMBER(F95)),E95*F95,"")</f>
        <v>691.2</v>
      </c>
    </row>
    <row r="96">
      <c r="A96" s="7" t="s">
        <v>34</v>
      </c>
      <c r="B96" s="7" t="s">
        <v>62</v>
      </c>
      <c r="C96" s="7">
        <v>78</v>
      </c>
      <c r="D96" s="7">
        <v>5220</v>
      </c>
      <c r="E96" s="7">
        <v>48</v>
      </c>
      <c r="F96" s="7">
        <v>16.3</v>
      </c>
      <c r="G96" s="8">
        <f>IF(AND(ISNUMBER(E96),ISNUMBER(F96)),E96*F96,"")</f>
        <v>782.4000000000001</v>
      </c>
    </row>
    <row r="97">
      <c r="A97" s="7" t="s">
        <v>34</v>
      </c>
      <c r="B97" s="7" t="s">
        <v>62</v>
      </c>
      <c r="C97" s="7">
        <v>81</v>
      </c>
      <c r="D97" s="7">
        <v>5505</v>
      </c>
      <c r="E97" s="7">
        <v>48</v>
      </c>
      <c r="F97" s="7">
        <v>17.6</v>
      </c>
      <c r="G97" s="8">
        <f>IF(AND(ISNUMBER(E97),ISNUMBER(F97)),E97*F97,"")</f>
        <v>844.8000000000001</v>
      </c>
    </row>
    <row r="98">
      <c r="A98" s="7" t="s">
        <v>34</v>
      </c>
      <c r="B98" s="7" t="s">
        <v>62</v>
      </c>
      <c r="C98" s="7">
        <v>84</v>
      </c>
      <c r="D98" s="7">
        <v>5685</v>
      </c>
      <c r="E98" s="7">
        <v>48</v>
      </c>
      <c r="F98" s="7">
        <v>18.5</v>
      </c>
      <c r="G98" s="8">
        <f>IF(AND(ISNUMBER(E98),ISNUMBER(F98)),E98*F98,"")</f>
        <v>888</v>
      </c>
    </row>
    <row r="99">
      <c r="A99" s="7" t="s">
        <v>34</v>
      </c>
      <c r="B99" s="7" t="s">
        <v>62</v>
      </c>
      <c r="C99" s="7">
        <v>87</v>
      </c>
      <c r="D99" s="7">
        <v>6010</v>
      </c>
      <c r="E99" s="7">
        <v>48</v>
      </c>
      <c r="F99" s="7">
        <v>20.1</v>
      </c>
      <c r="G99" s="8">
        <f>IF(AND(ISNUMBER(E99),ISNUMBER(F99)),E99*F99,"")</f>
        <v>964.8000000000001</v>
      </c>
    </row>
    <row r="100">
      <c r="A100" s="7" t="s">
        <v>34</v>
      </c>
      <c r="B100" s="7" t="s">
        <v>62</v>
      </c>
      <c r="C100" s="7">
        <v>90</v>
      </c>
      <c r="D100" s="7">
        <v>6335</v>
      </c>
      <c r="E100" s="7">
        <v>48</v>
      </c>
      <c r="F100" s="7">
        <v>21.8</v>
      </c>
      <c r="G100" s="8">
        <f>IF(AND(ISNUMBER(E100),ISNUMBER(F100)),E100*F100,"")</f>
        <v>1046.4</v>
      </c>
    </row>
    <row r="101">
      <c r="A101" s="7" t="s">
        <v>34</v>
      </c>
      <c r="B101" s="7" t="s">
        <v>62</v>
      </c>
      <c r="C101" s="7">
        <v>100</v>
      </c>
      <c r="D101" s="7">
        <v>6570</v>
      </c>
      <c r="E101" s="7">
        <v>48</v>
      </c>
      <c r="F101" s="7">
        <v>23</v>
      </c>
      <c r="G101" s="8">
        <f>IF(AND(ISNUMBER(E101),ISNUMBER(F101)),E101*F101,"")</f>
        <v>1104</v>
      </c>
    </row>
    <row r="102">
      <c r="A102" s="7" t="s">
        <v>35</v>
      </c>
      <c r="B102" s="7" t="s">
        <v>62</v>
      </c>
      <c r="C102" s="7">
        <v>33</v>
      </c>
      <c r="D102" s="7">
        <v>1845</v>
      </c>
      <c r="E102" s="7">
        <v>46</v>
      </c>
      <c r="F102" s="7">
        <v>4</v>
      </c>
      <c r="G102" s="8">
        <f>IF(AND(ISNUMBER(E102),ISNUMBER(F102)),E102*F102,"")</f>
        <v>184</v>
      </c>
    </row>
    <row r="103">
      <c r="A103" s="7" t="s">
        <v>35</v>
      </c>
      <c r="B103" s="7" t="s">
        <v>62</v>
      </c>
      <c r="C103" s="7">
        <v>35</v>
      </c>
      <c r="D103" s="7">
        <v>2089</v>
      </c>
      <c r="E103" s="7">
        <v>46</v>
      </c>
      <c r="F103" s="7">
        <v>4.6</v>
      </c>
      <c r="G103" s="8">
        <f>IF(AND(ISNUMBER(E103),ISNUMBER(F103)),E103*F103,"")</f>
        <v>211.6</v>
      </c>
    </row>
    <row r="104">
      <c r="A104" s="7" t="s">
        <v>35</v>
      </c>
      <c r="B104" s="7" t="s">
        <v>62</v>
      </c>
      <c r="C104" s="7">
        <v>37</v>
      </c>
      <c r="D104" s="7">
        <v>2334</v>
      </c>
      <c r="E104" s="7">
        <v>46</v>
      </c>
      <c r="F104" s="7">
        <v>5.3</v>
      </c>
      <c r="G104" s="8">
        <f>IF(AND(ISNUMBER(E104),ISNUMBER(F104)),E104*F104,"")</f>
        <v>243.79999999999998</v>
      </c>
    </row>
    <row r="105">
      <c r="A105" s="7" t="s">
        <v>35</v>
      </c>
      <c r="B105" s="7" t="s">
        <v>62</v>
      </c>
      <c r="C105" s="7">
        <v>39</v>
      </c>
      <c r="D105" s="7">
        <v>2579</v>
      </c>
      <c r="E105" s="7">
        <v>46</v>
      </c>
      <c r="F105" s="7">
        <v>6.1</v>
      </c>
      <c r="G105" s="8">
        <f>IF(AND(ISNUMBER(E105),ISNUMBER(F105)),E105*F105,"")</f>
        <v>280.59999999999997</v>
      </c>
    </row>
    <row r="106">
      <c r="A106" s="7" t="s">
        <v>35</v>
      </c>
      <c r="B106" s="7" t="s">
        <v>62</v>
      </c>
      <c r="C106" s="7">
        <v>42</v>
      </c>
      <c r="D106" s="7">
        <v>2949</v>
      </c>
      <c r="E106" s="7">
        <v>46</v>
      </c>
      <c r="F106" s="7">
        <v>7.4</v>
      </c>
      <c r="G106" s="8">
        <f>IF(AND(ISNUMBER(E106),ISNUMBER(F106)),E106*F106,"")</f>
        <v>340.40000000000003</v>
      </c>
    </row>
    <row r="107">
      <c r="A107" s="7" t="s">
        <v>35</v>
      </c>
      <c r="B107" s="7" t="s">
        <v>62</v>
      </c>
      <c r="C107" s="7">
        <v>45</v>
      </c>
      <c r="D107" s="7">
        <v>3322</v>
      </c>
      <c r="E107" s="7">
        <v>46</v>
      </c>
      <c r="F107" s="7">
        <v>8.9</v>
      </c>
      <c r="G107" s="8">
        <f>IF(AND(ISNUMBER(E107),ISNUMBER(F107)),E107*F107,"")</f>
        <v>409.40000000000003</v>
      </c>
    </row>
    <row r="108">
      <c r="A108" s="7" t="s">
        <v>35</v>
      </c>
      <c r="B108" s="7" t="s">
        <v>62</v>
      </c>
      <c r="C108" s="7">
        <v>48</v>
      </c>
      <c r="D108" s="7">
        <v>3701</v>
      </c>
      <c r="E108" s="7">
        <v>46</v>
      </c>
      <c r="F108" s="7">
        <v>10.4</v>
      </c>
      <c r="G108" s="8">
        <f>IF(AND(ISNUMBER(E108),ISNUMBER(F108)),E108*F108,"")</f>
        <v>478.40000000000003</v>
      </c>
    </row>
    <row r="109">
      <c r="A109" s="7" t="s">
        <v>35</v>
      </c>
      <c r="B109" s="7" t="s">
        <v>62</v>
      </c>
      <c r="C109" s="7">
        <v>51</v>
      </c>
      <c r="D109" s="7">
        <v>4089</v>
      </c>
      <c r="E109" s="7">
        <v>46</v>
      </c>
      <c r="F109" s="7">
        <v>12.1</v>
      </c>
      <c r="G109" s="8">
        <f>IF(AND(ISNUMBER(E109),ISNUMBER(F109)),E109*F109,"")</f>
        <v>556.6</v>
      </c>
    </row>
    <row r="110">
      <c r="A110" s="7" t="s">
        <v>35</v>
      </c>
      <c r="B110" s="7" t="s">
        <v>62</v>
      </c>
      <c r="C110" s="7">
        <v>54</v>
      </c>
      <c r="D110" s="7">
        <v>4489</v>
      </c>
      <c r="E110" s="7">
        <v>46</v>
      </c>
      <c r="F110" s="7">
        <v>13.8</v>
      </c>
      <c r="G110" s="8">
        <f>IF(AND(ISNUMBER(E110),ISNUMBER(F110)),E110*F110,"")</f>
        <v>634.8000000000001</v>
      </c>
    </row>
    <row r="111">
      <c r="A111" s="7" t="s">
        <v>35</v>
      </c>
      <c r="B111" s="7" t="s">
        <v>62</v>
      </c>
      <c r="C111" s="7">
        <v>57</v>
      </c>
      <c r="D111" s="7">
        <v>4905</v>
      </c>
      <c r="E111" s="7">
        <v>46</v>
      </c>
      <c r="F111" s="7">
        <v>15.7</v>
      </c>
      <c r="G111" s="8">
        <f>IF(AND(ISNUMBER(E111),ISNUMBER(F111)),E111*F111,"")</f>
        <v>722.1999999999999</v>
      </c>
    </row>
    <row r="112">
      <c r="A112" s="7" t="s">
        <v>35</v>
      </c>
      <c r="B112" s="7" t="s">
        <v>62</v>
      </c>
      <c r="C112" s="7">
        <v>60</v>
      </c>
      <c r="D112" s="7">
        <v>5338</v>
      </c>
      <c r="E112" s="7">
        <v>46</v>
      </c>
      <c r="F112" s="7">
        <v>17.7</v>
      </c>
      <c r="G112" s="8">
        <f>IF(AND(ISNUMBER(E112),ISNUMBER(F112)),E112*F112,"")</f>
        <v>814.1999999999999</v>
      </c>
    </row>
    <row r="113">
      <c r="A113" s="7" t="s">
        <v>35</v>
      </c>
      <c r="B113" s="7" t="s">
        <v>62</v>
      </c>
      <c r="C113" s="7">
        <v>63</v>
      </c>
      <c r="D113" s="7">
        <v>5791</v>
      </c>
      <c r="E113" s="7">
        <v>46</v>
      </c>
      <c r="F113" s="7">
        <v>19.8</v>
      </c>
      <c r="G113" s="8">
        <f>IF(AND(ISNUMBER(E113),ISNUMBER(F113)),E113*F113,"")</f>
        <v>910.8000000000001</v>
      </c>
    </row>
    <row r="114">
      <c r="A114" s="7" t="s">
        <v>35</v>
      </c>
      <c r="B114" s="7" t="s">
        <v>62</v>
      </c>
      <c r="C114" s="7">
        <v>66</v>
      </c>
      <c r="D114" s="7">
        <v>6265</v>
      </c>
      <c r="E114" s="7">
        <v>46</v>
      </c>
      <c r="F114" s="7">
        <v>22.2</v>
      </c>
      <c r="G114" s="8">
        <f>IF(AND(ISNUMBER(E114),ISNUMBER(F114)),E114*F114,"")</f>
        <v>1021.1999999999999</v>
      </c>
    </row>
    <row r="115">
      <c r="A115" s="7" t="s">
        <v>35</v>
      </c>
      <c r="B115" s="7" t="s">
        <v>62</v>
      </c>
      <c r="C115" s="7">
        <v>69</v>
      </c>
      <c r="D115" s="7">
        <v>6759</v>
      </c>
      <c r="E115" s="7">
        <v>46</v>
      </c>
      <c r="F115" s="7">
        <v>24.9</v>
      </c>
      <c r="G115" s="8">
        <f>IF(AND(ISNUMBER(E115),ISNUMBER(F115)),E115*F115,"")</f>
        <v>1145.3999999999999</v>
      </c>
    </row>
    <row r="116">
      <c r="A116" s="7" t="s">
        <v>35</v>
      </c>
      <c r="B116" s="7" t="s">
        <v>62</v>
      </c>
      <c r="C116" s="7">
        <v>72</v>
      </c>
      <c r="D116" s="7">
        <v>7272</v>
      </c>
      <c r="E116" s="7">
        <v>46</v>
      </c>
      <c r="F116" s="7">
        <v>27.8</v>
      </c>
      <c r="G116" s="8">
        <f>IF(AND(ISNUMBER(E116),ISNUMBER(F116)),E116*F116,"")</f>
        <v>1278.8</v>
      </c>
    </row>
    <row r="117">
      <c r="A117" s="7" t="s">
        <v>35</v>
      </c>
      <c r="B117" s="7" t="s">
        <v>62</v>
      </c>
      <c r="C117" s="7">
        <v>75</v>
      </c>
      <c r="D117" s="7">
        <v>7799</v>
      </c>
      <c r="E117" s="7">
        <v>46</v>
      </c>
      <c r="F117" s="7">
        <v>31.2</v>
      </c>
      <c r="G117" s="8">
        <f>IF(AND(ISNUMBER(E117),ISNUMBER(F117)),E117*F117,"")</f>
        <v>1435.2</v>
      </c>
    </row>
    <row r="118">
      <c r="A118" s="7" t="s">
        <v>35</v>
      </c>
      <c r="B118" s="7" t="s">
        <v>62</v>
      </c>
      <c r="C118" s="7">
        <v>78</v>
      </c>
      <c r="D118" s="7">
        <v>8333</v>
      </c>
      <c r="E118" s="7">
        <v>46</v>
      </c>
      <c r="F118" s="7">
        <v>34.9</v>
      </c>
      <c r="G118" s="8">
        <f>IF(AND(ISNUMBER(E118),ISNUMBER(F118)),E118*F118,"")</f>
        <v>1605.3999999999999</v>
      </c>
    </row>
    <row r="119">
      <c r="A119" s="7" t="s">
        <v>35</v>
      </c>
      <c r="B119" s="7" t="s">
        <v>62</v>
      </c>
      <c r="C119" s="7">
        <v>81</v>
      </c>
      <c r="D119" s="7">
        <v>8866</v>
      </c>
      <c r="E119" s="7">
        <v>46</v>
      </c>
      <c r="F119" s="7">
        <v>38.9</v>
      </c>
      <c r="G119" s="8">
        <f>IF(AND(ISNUMBER(E119),ISNUMBER(F119)),E119*F119,"")</f>
        <v>1789.3999999999999</v>
      </c>
    </row>
    <row r="120">
      <c r="A120" s="7" t="s">
        <v>35</v>
      </c>
      <c r="B120" s="7" t="s">
        <v>62</v>
      </c>
      <c r="C120" s="7">
        <v>84</v>
      </c>
      <c r="D120" s="7">
        <v>9385</v>
      </c>
      <c r="E120" s="7">
        <v>46</v>
      </c>
      <c r="F120" s="7">
        <v>43.1</v>
      </c>
      <c r="G120" s="8">
        <f>IF(AND(ISNUMBER(E120),ISNUMBER(F120)),E120*F120,"")</f>
        <v>1982.6000000000001</v>
      </c>
    </row>
    <row r="121">
      <c r="A121" s="7" t="s">
        <v>35</v>
      </c>
      <c r="B121" s="7" t="s">
        <v>62</v>
      </c>
      <c r="C121" s="7">
        <v>87</v>
      </c>
      <c r="D121" s="7">
        <v>9875</v>
      </c>
      <c r="E121" s="7">
        <v>46</v>
      </c>
      <c r="F121" s="7">
        <v>47.3</v>
      </c>
      <c r="G121" s="8">
        <f>IF(AND(ISNUMBER(E121),ISNUMBER(F121)),E121*F121,"")</f>
        <v>2175.7999999999997</v>
      </c>
    </row>
    <row r="122">
      <c r="A122" s="7" t="s">
        <v>35</v>
      </c>
      <c r="B122" s="7" t="s">
        <v>62</v>
      </c>
      <c r="C122" s="7">
        <v>90</v>
      </c>
      <c r="D122" s="7">
        <v>10318</v>
      </c>
      <c r="E122" s="7">
        <v>46</v>
      </c>
      <c r="F122" s="7">
        <v>51.2</v>
      </c>
      <c r="G122" s="8">
        <f>IF(AND(ISNUMBER(E122),ISNUMBER(F122)),E122*F122,"")</f>
        <v>2355.2000000000003</v>
      </c>
    </row>
    <row r="123">
      <c r="A123" s="7" t="s">
        <v>35</v>
      </c>
      <c r="B123" s="7" t="s">
        <v>62</v>
      </c>
      <c r="C123" s="7">
        <v>100</v>
      </c>
      <c r="D123" s="7">
        <v>11114</v>
      </c>
      <c r="E123" s="7">
        <v>46</v>
      </c>
      <c r="F123" s="7">
        <v>58.4</v>
      </c>
      <c r="G123" s="8">
        <f>IF(AND(ISNUMBER(E123),ISNUMBER(F123)),E123*F123,"")</f>
        <v>2686.4</v>
      </c>
    </row>
    <row r="124">
      <c r="A124" s="7" t="s">
        <v>36</v>
      </c>
      <c r="B124" s="7" t="s">
        <v>63</v>
      </c>
      <c r="C124" s="7">
        <v>30</v>
      </c>
      <c r="D124" s="7">
        <v>975</v>
      </c>
      <c r="E124" s="7">
        <v>48</v>
      </c>
      <c r="F124" s="7">
        <v>1.2</v>
      </c>
      <c r="G124" s="8">
        <f>IF(AND(ISNUMBER(E124),ISNUMBER(F124)),E124*F124,"")</f>
        <v>57.599999999999994</v>
      </c>
    </row>
    <row r="125">
      <c r="A125" s="7" t="s">
        <v>36</v>
      </c>
      <c r="B125" s="7" t="s">
        <v>63</v>
      </c>
      <c r="C125" s="7">
        <v>33</v>
      </c>
      <c r="D125" s="7">
        <v>1180</v>
      </c>
      <c r="E125" s="7">
        <v>48</v>
      </c>
      <c r="F125" s="7">
        <v>1.5</v>
      </c>
      <c r="G125" s="8">
        <f>IF(AND(ISNUMBER(E125),ISNUMBER(F125)),E125*F125,"")</f>
        <v>72</v>
      </c>
    </row>
    <row r="126">
      <c r="A126" s="7" t="s">
        <v>36</v>
      </c>
      <c r="B126" s="7" t="s">
        <v>63</v>
      </c>
      <c r="C126" s="7">
        <v>36</v>
      </c>
      <c r="D126" s="7">
        <v>1470</v>
      </c>
      <c r="E126" s="7">
        <v>48</v>
      </c>
      <c r="F126" s="7">
        <v>2</v>
      </c>
      <c r="G126" s="8">
        <f>IF(AND(ISNUMBER(E126),ISNUMBER(F126)),E126*F126,"")</f>
        <v>96</v>
      </c>
    </row>
    <row r="127">
      <c r="A127" s="7" t="s">
        <v>36</v>
      </c>
      <c r="B127" s="7" t="s">
        <v>63</v>
      </c>
      <c r="C127" s="7">
        <v>39</v>
      </c>
      <c r="D127" s="7">
        <v>1715</v>
      </c>
      <c r="E127" s="7">
        <v>48</v>
      </c>
      <c r="F127" s="7">
        <v>2.4</v>
      </c>
      <c r="G127" s="8">
        <f>IF(AND(ISNUMBER(E127),ISNUMBER(F127)),E127*F127,"")</f>
        <v>115.19999999999999</v>
      </c>
    </row>
    <row r="128">
      <c r="A128" s="7" t="s">
        <v>36</v>
      </c>
      <c r="B128" s="7" t="s">
        <v>63</v>
      </c>
      <c r="C128" s="7">
        <v>42</v>
      </c>
      <c r="D128" s="7">
        <v>1945</v>
      </c>
      <c r="E128" s="7">
        <v>48</v>
      </c>
      <c r="F128" s="7">
        <v>2.9</v>
      </c>
      <c r="G128" s="8">
        <f>IF(AND(ISNUMBER(E128),ISNUMBER(F128)),E128*F128,"")</f>
        <v>139.2</v>
      </c>
    </row>
    <row r="129">
      <c r="A129" s="7" t="s">
        <v>36</v>
      </c>
      <c r="B129" s="7" t="s">
        <v>63</v>
      </c>
      <c r="C129" s="7">
        <v>45</v>
      </c>
      <c r="D129" s="7">
        <v>2315</v>
      </c>
      <c r="E129" s="7">
        <v>48</v>
      </c>
      <c r="F129" s="7">
        <v>3.7</v>
      </c>
      <c r="G129" s="8">
        <f>IF(AND(ISNUMBER(E129),ISNUMBER(F129)),E129*F129,"")</f>
        <v>177.60000000000002</v>
      </c>
    </row>
    <row r="130">
      <c r="A130" s="7" t="s">
        <v>36</v>
      </c>
      <c r="B130" s="7" t="s">
        <v>63</v>
      </c>
      <c r="C130" s="7">
        <v>48</v>
      </c>
      <c r="D130" s="7">
        <v>2595</v>
      </c>
      <c r="E130" s="7">
        <v>48</v>
      </c>
      <c r="F130" s="7">
        <v>4.4</v>
      </c>
      <c r="G130" s="8">
        <f>IF(AND(ISNUMBER(E130),ISNUMBER(F130)),E130*F130,"")</f>
        <v>211.20000000000002</v>
      </c>
    </row>
    <row r="131">
      <c r="A131" s="7" t="s">
        <v>36</v>
      </c>
      <c r="B131" s="7" t="s">
        <v>63</v>
      </c>
      <c r="C131" s="7">
        <v>51</v>
      </c>
      <c r="D131" s="7">
        <v>2995</v>
      </c>
      <c r="E131" s="7">
        <v>48</v>
      </c>
      <c r="F131" s="7">
        <v>5.4</v>
      </c>
      <c r="G131" s="8">
        <f>IF(AND(ISNUMBER(E131),ISNUMBER(F131)),E131*F131,"")</f>
        <v>259.20000000000005</v>
      </c>
    </row>
    <row r="132">
      <c r="A132" s="7" t="s">
        <v>36</v>
      </c>
      <c r="B132" s="7" t="s">
        <v>63</v>
      </c>
      <c r="C132" s="7">
        <v>54</v>
      </c>
      <c r="D132" s="7">
        <v>3265</v>
      </c>
      <c r="E132" s="7">
        <v>48</v>
      </c>
      <c r="F132" s="7">
        <v>6.1</v>
      </c>
      <c r="G132" s="8">
        <f>IF(AND(ISNUMBER(E132),ISNUMBER(F132)),E132*F132,"")</f>
        <v>292.79999999999995</v>
      </c>
    </row>
    <row r="133">
      <c r="A133" s="7" t="s">
        <v>36</v>
      </c>
      <c r="B133" s="7" t="s">
        <v>63</v>
      </c>
      <c r="C133" s="7">
        <v>57</v>
      </c>
      <c r="D133" s="7">
        <v>3510</v>
      </c>
      <c r="E133" s="7">
        <v>48</v>
      </c>
      <c r="F133" s="7">
        <v>6.8</v>
      </c>
      <c r="G133" s="8">
        <f>IF(AND(ISNUMBER(E133),ISNUMBER(F133)),E133*F133,"")</f>
        <v>326.4</v>
      </c>
    </row>
    <row r="134">
      <c r="A134" s="7" t="s">
        <v>36</v>
      </c>
      <c r="B134" s="7" t="s">
        <v>63</v>
      </c>
      <c r="C134" s="7">
        <v>60</v>
      </c>
      <c r="D134" s="7">
        <v>3865</v>
      </c>
      <c r="E134" s="7">
        <v>48</v>
      </c>
      <c r="F134" s="7">
        <v>7.9</v>
      </c>
      <c r="G134" s="8">
        <f>IF(AND(ISNUMBER(E134),ISNUMBER(F134)),E134*F134,"")</f>
        <v>379.20000000000005</v>
      </c>
    </row>
    <row r="135">
      <c r="A135" s="7" t="s">
        <v>36</v>
      </c>
      <c r="B135" s="7" t="s">
        <v>63</v>
      </c>
      <c r="C135" s="7">
        <v>63</v>
      </c>
      <c r="D135" s="7">
        <v>4275</v>
      </c>
      <c r="E135" s="7">
        <v>48</v>
      </c>
      <c r="F135" s="7">
        <v>9.1</v>
      </c>
      <c r="G135" s="8">
        <f>IF(AND(ISNUMBER(E135),ISNUMBER(F135)),E135*F135,"")</f>
        <v>436.79999999999995</v>
      </c>
    </row>
    <row r="136">
      <c r="A136" s="7" t="s">
        <v>36</v>
      </c>
      <c r="B136" s="7" t="s">
        <v>63</v>
      </c>
      <c r="C136" s="7">
        <v>66</v>
      </c>
      <c r="D136" s="7">
        <v>4505</v>
      </c>
      <c r="E136" s="7">
        <v>48</v>
      </c>
      <c r="F136" s="7">
        <v>9.9</v>
      </c>
      <c r="G136" s="8">
        <f>IF(AND(ISNUMBER(E136),ISNUMBER(F136)),E136*F136,"")</f>
        <v>475.20000000000005</v>
      </c>
    </row>
    <row r="137">
      <c r="A137" s="7" t="s">
        <v>36</v>
      </c>
      <c r="B137" s="7" t="s">
        <v>63</v>
      </c>
      <c r="C137" s="7">
        <v>69</v>
      </c>
      <c r="D137" s="7">
        <v>4865</v>
      </c>
      <c r="E137" s="7">
        <v>48</v>
      </c>
      <c r="F137" s="7">
        <v>11.1</v>
      </c>
      <c r="G137" s="8">
        <f>IF(AND(ISNUMBER(E137),ISNUMBER(F137)),E137*F137,"")</f>
        <v>532.8</v>
      </c>
    </row>
    <row r="138">
      <c r="A138" s="7" t="s">
        <v>36</v>
      </c>
      <c r="B138" s="7" t="s">
        <v>63</v>
      </c>
      <c r="C138" s="7">
        <v>72</v>
      </c>
      <c r="D138" s="7">
        <v>5270</v>
      </c>
      <c r="E138" s="7">
        <v>48</v>
      </c>
      <c r="F138" s="7">
        <v>12.6</v>
      </c>
      <c r="G138" s="8">
        <f>IF(AND(ISNUMBER(E138),ISNUMBER(F138)),E138*F138,"")</f>
        <v>604.8</v>
      </c>
    </row>
    <row r="139">
      <c r="A139" s="7" t="s">
        <v>36</v>
      </c>
      <c r="B139" s="7" t="s">
        <v>63</v>
      </c>
      <c r="C139" s="7">
        <v>75</v>
      </c>
      <c r="D139" s="7">
        <v>5470</v>
      </c>
      <c r="E139" s="7">
        <v>48</v>
      </c>
      <c r="F139" s="7">
        <v>13.3</v>
      </c>
      <c r="G139" s="8">
        <f>IF(AND(ISNUMBER(E139),ISNUMBER(F139)),E139*F139,"")</f>
        <v>638.4000000000001</v>
      </c>
    </row>
    <row r="140">
      <c r="A140" s="7" t="s">
        <v>36</v>
      </c>
      <c r="B140" s="7" t="s">
        <v>63</v>
      </c>
      <c r="C140" s="7">
        <v>78</v>
      </c>
      <c r="D140" s="7">
        <v>5895</v>
      </c>
      <c r="E140" s="7">
        <v>48</v>
      </c>
      <c r="F140" s="7">
        <v>15.1</v>
      </c>
      <c r="G140" s="8">
        <f>IF(AND(ISNUMBER(E140),ISNUMBER(F140)),E140*F140,"")</f>
        <v>724.8</v>
      </c>
    </row>
    <row r="141">
      <c r="A141" s="7" t="s">
        <v>36</v>
      </c>
      <c r="B141" s="7" t="s">
        <v>63</v>
      </c>
      <c r="C141" s="7">
        <v>81</v>
      </c>
      <c r="D141" s="7">
        <v>6195</v>
      </c>
      <c r="E141" s="7">
        <v>48</v>
      </c>
      <c r="F141" s="7">
        <v>16.3</v>
      </c>
      <c r="G141" s="8">
        <f>IF(AND(ISNUMBER(E141),ISNUMBER(F141)),E141*F141,"")</f>
        <v>782.4000000000001</v>
      </c>
    </row>
    <row r="142">
      <c r="A142" s="7" t="s">
        <v>36</v>
      </c>
      <c r="B142" s="7" t="s">
        <v>63</v>
      </c>
      <c r="C142" s="7">
        <v>84</v>
      </c>
      <c r="D142" s="7">
        <v>6405</v>
      </c>
      <c r="E142" s="7">
        <v>48</v>
      </c>
      <c r="F142" s="7">
        <v>17.2</v>
      </c>
      <c r="G142" s="8">
        <f>IF(AND(ISNUMBER(E142),ISNUMBER(F142)),E142*F142,"")</f>
        <v>825.5999999999999</v>
      </c>
    </row>
    <row r="143">
      <c r="A143" s="7" t="s">
        <v>36</v>
      </c>
      <c r="B143" s="7" t="s">
        <v>63</v>
      </c>
      <c r="C143" s="7">
        <v>87</v>
      </c>
      <c r="D143" s="7">
        <v>6685</v>
      </c>
      <c r="E143" s="7">
        <v>48</v>
      </c>
      <c r="F143" s="7">
        <v>18.5</v>
      </c>
      <c r="G143" s="8">
        <f>IF(AND(ISNUMBER(E143),ISNUMBER(F143)),E143*F143,"")</f>
        <v>888</v>
      </c>
    </row>
    <row r="144">
      <c r="A144" s="7" t="s">
        <v>36</v>
      </c>
      <c r="B144" s="7" t="s">
        <v>63</v>
      </c>
      <c r="C144" s="7">
        <v>90</v>
      </c>
      <c r="D144" s="7">
        <v>7025</v>
      </c>
      <c r="E144" s="7">
        <v>48</v>
      </c>
      <c r="F144" s="7">
        <v>20</v>
      </c>
      <c r="G144" s="8">
        <f>IF(AND(ISNUMBER(E144),ISNUMBER(F144)),E144*F144,"")</f>
        <v>960</v>
      </c>
    </row>
    <row r="145">
      <c r="A145" s="7" t="s">
        <v>36</v>
      </c>
      <c r="B145" s="7" t="s">
        <v>63</v>
      </c>
      <c r="C145" s="7">
        <v>100</v>
      </c>
      <c r="D145" s="7">
        <v>7520</v>
      </c>
      <c r="E145" s="7">
        <v>48</v>
      </c>
      <c r="F145" s="7">
        <v>22.1</v>
      </c>
      <c r="G145" s="8">
        <f>IF(AND(ISNUMBER(E145),ISNUMBER(F145)),E145*F145,"")</f>
        <v>1060.8000000000002</v>
      </c>
    </row>
    <row r="146">
      <c r="A146" s="7" t="s">
        <v>37</v>
      </c>
      <c r="B146" s="7" t="s">
        <v>64</v>
      </c>
      <c r="C146" s="7">
        <v>20</v>
      </c>
      <c r="D146" s="7">
        <v>610</v>
      </c>
      <c r="E146" s="7">
        <v>50.25</v>
      </c>
      <c r="F146" s="7">
        <v>1.8</v>
      </c>
      <c r="G146" s="8">
        <f>IF(AND(ISNUMBER(E146),ISNUMBER(F146)),E146*F146,"")</f>
        <v>90.45</v>
      </c>
    </row>
    <row r="147">
      <c r="A147" s="7" t="s">
        <v>37</v>
      </c>
      <c r="B147" s="7" t="s">
        <v>64</v>
      </c>
      <c r="C147" s="7">
        <v>30</v>
      </c>
      <c r="D147" s="7">
        <v>1185</v>
      </c>
      <c r="E147" s="7">
        <v>50.25</v>
      </c>
      <c r="F147" s="7">
        <v>4.1</v>
      </c>
      <c r="G147" s="8">
        <f>IF(AND(ISNUMBER(E147),ISNUMBER(F147)),E147*F147,"")</f>
        <v>206.02499999999998</v>
      </c>
    </row>
    <row r="148">
      <c r="A148" s="7" t="s">
        <v>37</v>
      </c>
      <c r="B148" s="7" t="s">
        <v>64</v>
      </c>
      <c r="C148" s="7">
        <v>40</v>
      </c>
      <c r="D148" s="7">
        <v>1855</v>
      </c>
      <c r="E148" s="7">
        <v>50.25</v>
      </c>
      <c r="F148" s="7">
        <v>7.6</v>
      </c>
      <c r="G148" s="8">
        <f>IF(AND(ISNUMBER(E148),ISNUMBER(F148)),E148*F148,"")</f>
        <v>381.9</v>
      </c>
    </row>
    <row r="149">
      <c r="A149" s="7" t="s">
        <v>37</v>
      </c>
      <c r="B149" s="7" t="s">
        <v>64</v>
      </c>
      <c r="C149" s="7">
        <v>50</v>
      </c>
      <c r="D149" s="7">
        <v>2700</v>
      </c>
      <c r="E149" s="7">
        <v>50.25</v>
      </c>
      <c r="F149" s="7">
        <v>13</v>
      </c>
      <c r="G149" s="8">
        <f>IF(AND(ISNUMBER(E149),ISNUMBER(F149)),E149*F149,"")</f>
        <v>653.25</v>
      </c>
    </row>
    <row r="150">
      <c r="A150" s="7" t="s">
        <v>37</v>
      </c>
      <c r="B150" s="7" t="s">
        <v>64</v>
      </c>
      <c r="C150" s="7">
        <v>60</v>
      </c>
      <c r="D150" s="7">
        <v>3700</v>
      </c>
      <c r="E150" s="7">
        <v>50.25</v>
      </c>
      <c r="F150" s="7">
        <v>20.1</v>
      </c>
      <c r="G150" s="8">
        <f>IF(AND(ISNUMBER(E150),ISNUMBER(F150)),E150*F150,"")</f>
        <v>1010.0250000000001</v>
      </c>
    </row>
    <row r="151">
      <c r="A151" s="7" t="s">
        <v>37</v>
      </c>
      <c r="B151" s="7" t="s">
        <v>64</v>
      </c>
      <c r="C151" s="7">
        <v>70</v>
      </c>
      <c r="D151" s="7">
        <v>4790</v>
      </c>
      <c r="E151" s="7">
        <v>50.25</v>
      </c>
      <c r="F151" s="7">
        <v>29</v>
      </c>
      <c r="G151" s="8">
        <f>IF(AND(ISNUMBER(E151),ISNUMBER(F151)),E151*F151,"")</f>
        <v>1457.25</v>
      </c>
    </row>
    <row r="152">
      <c r="A152" s="7" t="s">
        <v>37</v>
      </c>
      <c r="B152" s="7" t="s">
        <v>64</v>
      </c>
      <c r="C152" s="7">
        <v>80</v>
      </c>
      <c r="D152" s="7">
        <v>5730</v>
      </c>
      <c r="E152" s="7">
        <v>50.25</v>
      </c>
      <c r="F152" s="7">
        <v>40</v>
      </c>
      <c r="G152" s="8">
        <f>IF(AND(ISNUMBER(E152),ISNUMBER(F152)),E152*F152,"")</f>
        <v>2010</v>
      </c>
    </row>
    <row r="153">
      <c r="A153" s="7" t="s">
        <v>37</v>
      </c>
      <c r="B153" s="7" t="s">
        <v>64</v>
      </c>
      <c r="C153" s="7">
        <v>90</v>
      </c>
      <c r="D153" s="7">
        <v>6850</v>
      </c>
      <c r="E153" s="7">
        <v>50.25</v>
      </c>
      <c r="F153" s="7">
        <v>52.5</v>
      </c>
      <c r="G153" s="8">
        <f>IF(AND(ISNUMBER(E153),ISNUMBER(F153)),E153*F153,"")</f>
        <v>2638.125</v>
      </c>
    </row>
    <row r="154">
      <c r="A154" s="7" t="s">
        <v>37</v>
      </c>
      <c r="B154" s="7" t="s">
        <v>64</v>
      </c>
      <c r="C154" s="7">
        <v>100</v>
      </c>
      <c r="D154" s="7">
        <v>8000</v>
      </c>
      <c r="E154" s="7">
        <v>50.25</v>
      </c>
      <c r="F154" s="7">
        <v>69.87</v>
      </c>
      <c r="G154" s="8">
        <f>IF(AND(ISNUMBER(E154),ISNUMBER(F154)),E154*F154,"")</f>
        <v>3510.9675</v>
      </c>
    </row>
    <row r="155">
      <c r="A155" s="7" t="s">
        <v>37</v>
      </c>
      <c r="B155" s="7" t="s">
        <v>65</v>
      </c>
      <c r="C155" s="7">
        <v>50</v>
      </c>
      <c r="D155" s="7">
        <v>2400</v>
      </c>
      <c r="E155" s="7">
        <v>50</v>
      </c>
      <c r="F155" s="7">
        <v>8.6</v>
      </c>
      <c r="G155" s="8">
        <f>IF(AND(ISNUMBER(E155),ISNUMBER(F155)),E155*F155,"")</f>
        <v>430</v>
      </c>
    </row>
    <row r="156">
      <c r="A156" s="7" t="s">
        <v>37</v>
      </c>
      <c r="B156" s="7" t="s">
        <v>65</v>
      </c>
      <c r="C156" s="7">
        <v>100</v>
      </c>
      <c r="D156" s="7">
        <v>8210</v>
      </c>
      <c r="E156" s="7">
        <v>50</v>
      </c>
      <c r="F156" s="7">
        <v>53</v>
      </c>
      <c r="G156" s="8">
        <f>IF(AND(ISNUMBER(E156),ISNUMBER(F156)),E156*F156,"")</f>
        <v>2650</v>
      </c>
    </row>
    <row r="157">
      <c r="A157" s="7" t="s">
        <v>39</v>
      </c>
      <c r="B157" s="7" t="s">
        <v>66</v>
      </c>
      <c r="C157" s="7">
        <v>50</v>
      </c>
      <c r="D157" s="7">
        <v>1940</v>
      </c>
      <c r="E157" s="7">
        <v>31.9</v>
      </c>
      <c r="F157" s="7">
        <v>13.64</v>
      </c>
      <c r="G157" s="8">
        <f>IF(AND(ISNUMBER(E157),ISNUMBER(F157)),E157*F157,"")</f>
        <v>435.116</v>
      </c>
    </row>
    <row r="158">
      <c r="A158" s="7" t="s">
        <v>39</v>
      </c>
      <c r="B158" s="7" t="s">
        <v>66</v>
      </c>
      <c r="C158" s="7">
        <v>60</v>
      </c>
      <c r="D158" s="7">
        <v>2645</v>
      </c>
      <c r="E158" s="7">
        <v>31.9</v>
      </c>
      <c r="F158" s="7">
        <v>21.52</v>
      </c>
      <c r="G158" s="8">
        <f>IF(AND(ISNUMBER(E158),ISNUMBER(F158)),E158*F158,"")</f>
        <v>686.4879999999999</v>
      </c>
    </row>
    <row r="159">
      <c r="A159" s="7" t="s">
        <v>39</v>
      </c>
      <c r="B159" s="7" t="s">
        <v>66</v>
      </c>
      <c r="C159" s="7">
        <v>70</v>
      </c>
      <c r="D159" s="7">
        <v>3481</v>
      </c>
      <c r="E159" s="7">
        <v>31.9</v>
      </c>
      <c r="F159" s="7">
        <v>30.79</v>
      </c>
      <c r="G159" s="8">
        <f>IF(AND(ISNUMBER(E159),ISNUMBER(F159)),E159*F159,"")</f>
        <v>982.2009999999999</v>
      </c>
    </row>
    <row r="160">
      <c r="A160" s="7" t="s">
        <v>39</v>
      </c>
      <c r="B160" s="7" t="s">
        <v>66</v>
      </c>
      <c r="C160" s="7">
        <v>80</v>
      </c>
      <c r="D160" s="7">
        <v>4360</v>
      </c>
      <c r="E160" s="7">
        <v>31.9</v>
      </c>
      <c r="F160" s="7">
        <v>44.77</v>
      </c>
      <c r="G160" s="8">
        <f>IF(AND(ISNUMBER(E160),ISNUMBER(F160)),E160*F160,"")</f>
        <v>1428.163</v>
      </c>
    </row>
    <row r="161">
      <c r="A161" s="7" t="s">
        <v>39</v>
      </c>
      <c r="B161" s="7" t="s">
        <v>66</v>
      </c>
      <c r="C161" s="7">
        <v>90</v>
      </c>
      <c r="D161" s="7">
        <v>5155</v>
      </c>
      <c r="E161" s="7">
        <v>31.9</v>
      </c>
      <c r="F161" s="7">
        <v>62.1</v>
      </c>
      <c r="G161" s="8">
        <f>IF(AND(ISNUMBER(E161),ISNUMBER(F161)),E161*F161,"")</f>
        <v>1980.99</v>
      </c>
    </row>
    <row r="162">
      <c r="A162" s="7" t="s">
        <v>39</v>
      </c>
      <c r="B162" s="7" t="s">
        <v>66</v>
      </c>
      <c r="C162" s="7">
        <v>100</v>
      </c>
      <c r="D162" s="7">
        <v>6054</v>
      </c>
      <c r="E162" s="7">
        <v>31.9</v>
      </c>
      <c r="F162" s="7">
        <v>78.57</v>
      </c>
      <c r="G162" s="8">
        <f>IF(AND(ISNUMBER(E162),ISNUMBER(F162)),E162*F162,"")</f>
        <v>2506.383</v>
      </c>
    </row>
    <row r="163">
      <c r="A163" s="7" t="s">
        <v>39</v>
      </c>
      <c r="B163" s="7" t="s">
        <v>67</v>
      </c>
      <c r="C163" s="7">
        <v>50</v>
      </c>
      <c r="D163" s="7">
        <v>1835</v>
      </c>
      <c r="E163" s="7">
        <v>31.9</v>
      </c>
      <c r="F163" s="7">
        <v>13.6</v>
      </c>
      <c r="G163" s="8">
        <f>IF(AND(ISNUMBER(E163),ISNUMBER(F163)),E163*F163,"")</f>
        <v>433.84</v>
      </c>
    </row>
    <row r="164">
      <c r="A164" s="7" t="s">
        <v>39</v>
      </c>
      <c r="B164" s="7" t="s">
        <v>67</v>
      </c>
      <c r="C164" s="7">
        <v>60</v>
      </c>
      <c r="D164" s="7">
        <v>2495</v>
      </c>
      <c r="E164" s="7">
        <v>31.9</v>
      </c>
      <c r="F164" s="7">
        <v>20.06</v>
      </c>
      <c r="G164" s="8">
        <f>IF(AND(ISNUMBER(E164),ISNUMBER(F164)),E164*F164,"")</f>
        <v>639.914</v>
      </c>
    </row>
    <row r="165">
      <c r="A165" s="7" t="s">
        <v>39</v>
      </c>
      <c r="B165" s="7" t="s">
        <v>67</v>
      </c>
      <c r="C165" s="7">
        <v>70</v>
      </c>
      <c r="D165" s="7">
        <v>3250</v>
      </c>
      <c r="E165" s="7">
        <v>31.9</v>
      </c>
      <c r="F165" s="7">
        <v>30.81</v>
      </c>
      <c r="G165" s="8">
        <f>IF(AND(ISNUMBER(E165),ISNUMBER(F165)),E165*F165,"")</f>
        <v>982.8389999999999</v>
      </c>
    </row>
    <row r="166">
      <c r="A166" s="7" t="s">
        <v>39</v>
      </c>
      <c r="B166" s="7" t="s">
        <v>67</v>
      </c>
      <c r="C166" s="7">
        <v>80</v>
      </c>
      <c r="D166" s="7">
        <v>4020</v>
      </c>
      <c r="E166" s="7">
        <v>31.9</v>
      </c>
      <c r="F166" s="7">
        <v>43.14</v>
      </c>
      <c r="G166" s="8">
        <f>IF(AND(ISNUMBER(E166),ISNUMBER(F166)),E166*F166,"")</f>
        <v>1376.166</v>
      </c>
    </row>
    <row r="167">
      <c r="A167" s="7" t="s">
        <v>39</v>
      </c>
      <c r="B167" s="7" t="s">
        <v>67</v>
      </c>
      <c r="C167" s="7">
        <v>90</v>
      </c>
      <c r="D167" s="7">
        <v>4712</v>
      </c>
      <c r="E167" s="7">
        <v>31.9</v>
      </c>
      <c r="F167" s="7">
        <v>59.43</v>
      </c>
      <c r="G167" s="8">
        <f>IF(AND(ISNUMBER(E167),ISNUMBER(F167)),E167*F167,"")</f>
        <v>1895.817</v>
      </c>
    </row>
    <row r="168">
      <c r="A168" s="7" t="s">
        <v>39</v>
      </c>
      <c r="B168" s="7" t="s">
        <v>67</v>
      </c>
      <c r="C168" s="7">
        <v>100</v>
      </c>
      <c r="D168" s="7">
        <v>5348</v>
      </c>
      <c r="E168" s="7">
        <v>31.9</v>
      </c>
      <c r="F168" s="7">
        <v>78.2</v>
      </c>
      <c r="G168" s="8">
        <f>IF(AND(ISNUMBER(E168),ISNUMBER(F168)),E168*F168,"")</f>
        <v>2494.58</v>
      </c>
    </row>
    <row r="169">
      <c r="A169" s="7" t="s">
        <v>41</v>
      </c>
      <c r="B169" s="7" t="s">
        <v>68</v>
      </c>
      <c r="C169" s="7">
        <v>50</v>
      </c>
      <c r="D169" s="7">
        <v>1237</v>
      </c>
      <c r="E169" s="7">
        <v>23.9</v>
      </c>
      <c r="F169" s="7">
        <v>12.83</v>
      </c>
      <c r="G169" s="8">
        <f>IF(AND(ISNUMBER(E169),ISNUMBER(F169)),E169*F169,"")</f>
        <v>306.637</v>
      </c>
    </row>
    <row r="170">
      <c r="A170" s="7" t="s">
        <v>41</v>
      </c>
      <c r="B170" s="7" t="s">
        <v>68</v>
      </c>
      <c r="C170" s="7">
        <v>60</v>
      </c>
      <c r="D170" s="7">
        <v>1681</v>
      </c>
      <c r="E170" s="7">
        <v>23.9</v>
      </c>
      <c r="F170" s="7">
        <v>19.85</v>
      </c>
      <c r="G170" s="8">
        <f>IF(AND(ISNUMBER(E170),ISNUMBER(F170)),E170*F170,"")</f>
        <v>474.415</v>
      </c>
    </row>
    <row r="171">
      <c r="A171" s="7" t="s">
        <v>41</v>
      </c>
      <c r="B171" s="7" t="s">
        <v>68</v>
      </c>
      <c r="C171" s="7">
        <v>70</v>
      </c>
      <c r="D171" s="7">
        <v>2127</v>
      </c>
      <c r="E171" s="7">
        <v>23.9</v>
      </c>
      <c r="F171" s="7">
        <v>28.7</v>
      </c>
      <c r="G171" s="8">
        <f>IF(AND(ISNUMBER(E171),ISNUMBER(F171)),E171*F171,"")</f>
        <v>685.93</v>
      </c>
    </row>
    <row r="172">
      <c r="A172" s="7" t="s">
        <v>41</v>
      </c>
      <c r="B172" s="7" t="s">
        <v>68</v>
      </c>
      <c r="C172" s="7">
        <v>80</v>
      </c>
      <c r="D172" s="7">
        <v>2571</v>
      </c>
      <c r="E172" s="7">
        <v>23.9</v>
      </c>
      <c r="F172" s="7">
        <v>39.5</v>
      </c>
      <c r="G172" s="8">
        <f>IF(AND(ISNUMBER(E172),ISNUMBER(F172)),E172*F172,"")</f>
        <v>944.05</v>
      </c>
    </row>
    <row r="173">
      <c r="A173" s="7" t="s">
        <v>41</v>
      </c>
      <c r="B173" s="7" t="s">
        <v>68</v>
      </c>
      <c r="C173" s="7">
        <v>90</v>
      </c>
      <c r="D173" s="7">
        <v>2954</v>
      </c>
      <c r="E173" s="7">
        <v>23.9</v>
      </c>
      <c r="F173" s="7">
        <v>51.57</v>
      </c>
      <c r="G173" s="8">
        <f>IF(AND(ISNUMBER(E173),ISNUMBER(F173)),E173*F173,"")</f>
        <v>1232.523</v>
      </c>
    </row>
    <row r="174">
      <c r="A174" s="7" t="s">
        <v>41</v>
      </c>
      <c r="B174" s="7" t="s">
        <v>68</v>
      </c>
      <c r="C174" s="7">
        <v>100</v>
      </c>
      <c r="D174" s="7">
        <v>3232</v>
      </c>
      <c r="E174" s="7">
        <v>23.9</v>
      </c>
      <c r="F174" s="7">
        <v>60.77</v>
      </c>
      <c r="G174" s="8">
        <f>IF(AND(ISNUMBER(E174),ISNUMBER(F174)),E174*F174,"")</f>
        <v>1452.403</v>
      </c>
    </row>
    <row r="175">
      <c r="A175" s="7" t="s">
        <v>42</v>
      </c>
      <c r="B175" s="7" t="s">
        <v>69</v>
      </c>
      <c r="C175" s="7">
        <v>10</v>
      </c>
      <c r="D175" s="7">
        <v>165</v>
      </c>
      <c r="E175" s="7">
        <v>29.6</v>
      </c>
      <c r="F175" s="7">
        <v>0.7</v>
      </c>
      <c r="G175" s="8">
        <f>IF(AND(ISNUMBER(E175),ISNUMBER(F175)),E175*F175,"")</f>
        <v>20.72</v>
      </c>
    </row>
    <row r="176">
      <c r="A176" s="7" t="s">
        <v>42</v>
      </c>
      <c r="B176" s="7" t="s">
        <v>69</v>
      </c>
      <c r="C176" s="7">
        <v>20</v>
      </c>
      <c r="D176" s="7">
        <v>425</v>
      </c>
      <c r="E176" s="7">
        <v>29.6</v>
      </c>
      <c r="F176" s="7">
        <v>2.1</v>
      </c>
      <c r="G176" s="8">
        <f>IF(AND(ISNUMBER(E176),ISNUMBER(F176)),E176*F176,"")</f>
        <v>62.160000000000004</v>
      </c>
    </row>
    <row r="177">
      <c r="A177" s="7" t="s">
        <v>42</v>
      </c>
      <c r="B177" s="7" t="s">
        <v>69</v>
      </c>
      <c r="C177" s="7">
        <v>30</v>
      </c>
      <c r="D177" s="7">
        <v>766</v>
      </c>
      <c r="E177" s="7">
        <v>29.6</v>
      </c>
      <c r="F177" s="7">
        <v>4.2</v>
      </c>
      <c r="G177" s="8">
        <f>IF(AND(ISNUMBER(E177),ISNUMBER(F177)),E177*F177,"")</f>
        <v>124.32000000000001</v>
      </c>
    </row>
    <row r="178">
      <c r="A178" s="7" t="s">
        <v>42</v>
      </c>
      <c r="B178" s="7" t="s">
        <v>69</v>
      </c>
      <c r="C178" s="7">
        <v>40</v>
      </c>
      <c r="D178" s="7">
        <v>1222</v>
      </c>
      <c r="E178" s="7">
        <v>29.6</v>
      </c>
      <c r="F178" s="7">
        <v>7.6</v>
      </c>
      <c r="G178" s="8">
        <f>IF(AND(ISNUMBER(E178),ISNUMBER(F178)),E178*F178,"")</f>
        <v>224.96</v>
      </c>
    </row>
    <row r="179">
      <c r="A179" s="7" t="s">
        <v>42</v>
      </c>
      <c r="B179" s="7" t="s">
        <v>69</v>
      </c>
      <c r="C179" s="7">
        <v>50</v>
      </c>
      <c r="D179" s="7">
        <v>1825</v>
      </c>
      <c r="E179" s="7">
        <v>29.6</v>
      </c>
      <c r="F179" s="7">
        <v>13</v>
      </c>
      <c r="G179" s="8">
        <f>IF(AND(ISNUMBER(E179),ISNUMBER(F179)),E179*F179,"")</f>
        <v>384.8</v>
      </c>
    </row>
    <row r="180">
      <c r="A180" s="7" t="s">
        <v>42</v>
      </c>
      <c r="B180" s="7" t="s">
        <v>69</v>
      </c>
      <c r="C180" s="7">
        <v>60</v>
      </c>
      <c r="D180" s="7">
        <v>2530</v>
      </c>
      <c r="E180" s="7">
        <v>29.6</v>
      </c>
      <c r="F180" s="7">
        <v>20.7</v>
      </c>
      <c r="G180" s="8">
        <f>IF(AND(ISNUMBER(E180),ISNUMBER(F180)),E180*F180,"")</f>
        <v>612.72</v>
      </c>
    </row>
    <row r="181">
      <c r="A181" s="7" t="s">
        <v>42</v>
      </c>
      <c r="B181" s="7" t="s">
        <v>69</v>
      </c>
      <c r="C181" s="7">
        <v>70</v>
      </c>
      <c r="D181" s="7">
        <v>3225</v>
      </c>
      <c r="E181" s="7">
        <v>29.6</v>
      </c>
      <c r="F181" s="7">
        <v>30</v>
      </c>
      <c r="G181" s="8">
        <f>IF(AND(ISNUMBER(E181),ISNUMBER(F181)),E181*F181,"")</f>
        <v>888</v>
      </c>
    </row>
    <row r="182">
      <c r="A182" s="7" t="s">
        <v>42</v>
      </c>
      <c r="B182" s="7" t="s">
        <v>69</v>
      </c>
      <c r="C182" s="7">
        <v>80</v>
      </c>
      <c r="D182" s="7">
        <v>3920</v>
      </c>
      <c r="E182" s="7">
        <v>29.6</v>
      </c>
      <c r="F182" s="7">
        <v>40.5</v>
      </c>
      <c r="G182" s="8">
        <f>IF(AND(ISNUMBER(E182),ISNUMBER(F182)),E182*F182,"")</f>
        <v>1198.8</v>
      </c>
    </row>
    <row r="183">
      <c r="A183" s="7" t="s">
        <v>42</v>
      </c>
      <c r="B183" s="7" t="s">
        <v>69</v>
      </c>
      <c r="C183" s="7">
        <v>90</v>
      </c>
      <c r="D183" s="7">
        <v>4650</v>
      </c>
      <c r="E183" s="7">
        <v>29.6</v>
      </c>
      <c r="F183" s="7">
        <v>53.5</v>
      </c>
      <c r="G183" s="8">
        <f>IF(AND(ISNUMBER(E183),ISNUMBER(F183)),E183*F183,"")</f>
        <v>1583.6000000000001</v>
      </c>
    </row>
    <row r="184">
      <c r="A184" s="7" t="s">
        <v>42</v>
      </c>
      <c r="B184" s="7" t="s">
        <v>69</v>
      </c>
      <c r="C184" s="7">
        <v>100</v>
      </c>
      <c r="D184" s="7">
        <v>5160</v>
      </c>
      <c r="E184" s="7">
        <v>29.6</v>
      </c>
      <c r="F184" s="7">
        <v>67</v>
      </c>
      <c r="G184" s="8">
        <f>IF(AND(ISNUMBER(E184),ISNUMBER(F184)),E184*F184,"")</f>
        <v>1983.2</v>
      </c>
    </row>
    <row r="185">
      <c r="A185" s="7" t="s">
        <v>43</v>
      </c>
      <c r="B185" s="7" t="s">
        <v>70</v>
      </c>
      <c r="C185" s="7">
        <v>50</v>
      </c>
      <c r="D185" s="7">
        <v>1302.9</v>
      </c>
      <c r="E185" s="7">
        <v>33.3</v>
      </c>
      <c r="F185" s="7">
        <v>9.05</v>
      </c>
      <c r="G185" s="8">
        <f>IF(AND(ISNUMBER(E185),ISNUMBER(F185)),E185*F185,"")</f>
        <v>301.365</v>
      </c>
    </row>
    <row r="186">
      <c r="A186" s="7" t="s">
        <v>43</v>
      </c>
      <c r="B186" s="7" t="s">
        <v>70</v>
      </c>
      <c r="C186" s="7">
        <v>60</v>
      </c>
      <c r="D186" s="7">
        <v>1780</v>
      </c>
      <c r="E186" s="7">
        <v>33.3</v>
      </c>
      <c r="F186" s="7">
        <v>13.72</v>
      </c>
      <c r="G186" s="8">
        <f>IF(AND(ISNUMBER(E186),ISNUMBER(F186)),E186*F186,"")</f>
        <v>456.876</v>
      </c>
    </row>
    <row r="187">
      <c r="A187" s="7" t="s">
        <v>43</v>
      </c>
      <c r="B187" s="7" t="s">
        <v>70</v>
      </c>
      <c r="C187" s="7">
        <v>70</v>
      </c>
      <c r="D187" s="7">
        <v>2317.1</v>
      </c>
      <c r="E187" s="7">
        <v>33.3</v>
      </c>
      <c r="F187" s="7">
        <v>21.68</v>
      </c>
      <c r="G187" s="8">
        <f>IF(AND(ISNUMBER(E187),ISNUMBER(F187)),E187*F187,"")</f>
        <v>721.944</v>
      </c>
    </row>
    <row r="188">
      <c r="A188" s="7" t="s">
        <v>43</v>
      </c>
      <c r="B188" s="7" t="s">
        <v>70</v>
      </c>
      <c r="C188" s="7">
        <v>80</v>
      </c>
      <c r="D188" s="7">
        <v>2970.5</v>
      </c>
      <c r="E188" s="7">
        <v>33.3</v>
      </c>
      <c r="F188" s="7">
        <v>30.4</v>
      </c>
      <c r="G188" s="8">
        <f>IF(AND(ISNUMBER(E188),ISNUMBER(F188)),E188*F188,"")</f>
        <v>1012.3199999999998</v>
      </c>
    </row>
    <row r="189">
      <c r="A189" s="7" t="s">
        <v>43</v>
      </c>
      <c r="B189" s="7" t="s">
        <v>70</v>
      </c>
      <c r="C189" s="7">
        <v>90</v>
      </c>
      <c r="D189" s="7">
        <v>3520.5</v>
      </c>
      <c r="E189" s="7">
        <v>33.3</v>
      </c>
      <c r="F189" s="7">
        <v>41.91</v>
      </c>
      <c r="G189" s="8">
        <f>IF(AND(ISNUMBER(E189),ISNUMBER(F189)),E189*F189,"")</f>
        <v>1395.6029999999998</v>
      </c>
    </row>
    <row r="190">
      <c r="A190" s="7" t="s">
        <v>43</v>
      </c>
      <c r="B190" s="7" t="s">
        <v>70</v>
      </c>
      <c r="C190" s="7">
        <v>100</v>
      </c>
      <c r="D190" s="7">
        <v>4013.8</v>
      </c>
      <c r="E190" s="7">
        <v>33.3</v>
      </c>
      <c r="F190" s="7">
        <v>52.79</v>
      </c>
      <c r="G190" s="8">
        <f>IF(AND(ISNUMBER(E190),ISNUMBER(F190)),E190*F190,"")</f>
        <v>1757.907</v>
      </c>
    </row>
    <row r="191">
      <c r="A191" s="7" t="s">
        <v>44</v>
      </c>
      <c r="B191" s="7" t="s">
        <v>71</v>
      </c>
      <c r="C191" s="7">
        <v>25.9</v>
      </c>
      <c r="D191" s="7">
        <v>500</v>
      </c>
      <c r="E191" s="7">
        <v>25</v>
      </c>
      <c r="F191" s="7">
        <v>1.5</v>
      </c>
      <c r="G191" s="8">
        <f>IF(AND(ISNUMBER(E191),ISNUMBER(F191)),E191*F191,"")</f>
        <v>37.5</v>
      </c>
    </row>
    <row r="192">
      <c r="A192" s="7" t="s">
        <v>44</v>
      </c>
      <c r="B192" s="7" t="s">
        <v>71</v>
      </c>
      <c r="C192" s="7">
        <v>31.4</v>
      </c>
      <c r="D192" s="7">
        <v>750</v>
      </c>
      <c r="E192" s="7">
        <v>25</v>
      </c>
      <c r="F192" s="7">
        <v>2.5</v>
      </c>
      <c r="G192" s="8">
        <f>IF(AND(ISNUMBER(E192),ISNUMBER(F192)),E192*F192,"")</f>
        <v>62.5</v>
      </c>
    </row>
    <row r="193">
      <c r="A193" s="7" t="s">
        <v>44</v>
      </c>
      <c r="B193" s="7" t="s">
        <v>71</v>
      </c>
      <c r="C193" s="7">
        <v>35.8</v>
      </c>
      <c r="D193" s="7">
        <v>1000</v>
      </c>
      <c r="E193" s="7">
        <v>25</v>
      </c>
      <c r="F193" s="7">
        <v>3.7</v>
      </c>
      <c r="G193" s="8">
        <f>IF(AND(ISNUMBER(E193),ISNUMBER(F193)),E193*F193,"")</f>
        <v>92.5</v>
      </c>
    </row>
    <row r="194">
      <c r="A194" s="7" t="s">
        <v>44</v>
      </c>
      <c r="B194" s="7" t="s">
        <v>71</v>
      </c>
      <c r="C194" s="7">
        <v>40.6</v>
      </c>
      <c r="D194" s="7">
        <v>1250</v>
      </c>
      <c r="E194" s="7">
        <v>25</v>
      </c>
      <c r="F194" s="7">
        <v>5.1</v>
      </c>
      <c r="G194" s="8">
        <f>IF(AND(ISNUMBER(E194),ISNUMBER(F194)),E194*F194,"")</f>
        <v>127.49999999999999</v>
      </c>
    </row>
    <row r="195">
      <c r="A195" s="7" t="s">
        <v>44</v>
      </c>
      <c r="B195" s="7" t="s">
        <v>71</v>
      </c>
      <c r="C195" s="7">
        <v>44.1</v>
      </c>
      <c r="D195" s="7">
        <v>1500</v>
      </c>
      <c r="E195" s="7">
        <v>25</v>
      </c>
      <c r="F195" s="7">
        <v>6.6</v>
      </c>
      <c r="G195" s="8">
        <f>IF(AND(ISNUMBER(E195),ISNUMBER(F195)),E195*F195,"")</f>
        <v>165</v>
      </c>
    </row>
    <row r="196">
      <c r="A196" s="7" t="s">
        <v>44</v>
      </c>
      <c r="B196" s="7" t="s">
        <v>71</v>
      </c>
      <c r="C196" s="7">
        <v>47.9</v>
      </c>
      <c r="D196" s="7">
        <v>1750</v>
      </c>
      <c r="E196" s="7">
        <v>25</v>
      </c>
      <c r="F196" s="7">
        <v>8.2</v>
      </c>
      <c r="G196" s="8">
        <f>IF(AND(ISNUMBER(E196),ISNUMBER(F196)),E196*F196,"")</f>
        <v>204.99999999999997</v>
      </c>
    </row>
    <row r="197">
      <c r="A197" s="7" t="s">
        <v>44</v>
      </c>
      <c r="B197" s="7" t="s">
        <v>71</v>
      </c>
      <c r="C197" s="7">
        <v>50.6</v>
      </c>
      <c r="D197" s="7">
        <v>2000</v>
      </c>
      <c r="E197" s="7">
        <v>25</v>
      </c>
      <c r="F197" s="7">
        <v>10</v>
      </c>
      <c r="G197" s="8">
        <f>IF(AND(ISNUMBER(E197),ISNUMBER(F197)),E197*F197,"")</f>
        <v>250</v>
      </c>
    </row>
    <row r="198">
      <c r="A198" s="7" t="s">
        <v>44</v>
      </c>
      <c r="B198" s="7" t="s">
        <v>71</v>
      </c>
      <c r="C198" s="7">
        <v>53.5</v>
      </c>
      <c r="D198" s="7">
        <v>2250</v>
      </c>
      <c r="E198" s="7">
        <v>25</v>
      </c>
      <c r="F198" s="7">
        <v>11.8</v>
      </c>
      <c r="G198" s="8">
        <f>IF(AND(ISNUMBER(E198),ISNUMBER(F198)),E198*F198,"")</f>
        <v>295</v>
      </c>
    </row>
    <row r="199">
      <c r="A199" s="7" t="s">
        <v>44</v>
      </c>
      <c r="B199" s="7" t="s">
        <v>71</v>
      </c>
      <c r="C199" s="7">
        <v>56.2</v>
      </c>
      <c r="D199" s="7">
        <v>2500</v>
      </c>
      <c r="E199" s="7">
        <v>25</v>
      </c>
      <c r="F199" s="7">
        <v>13.85</v>
      </c>
      <c r="G199" s="8">
        <f>IF(AND(ISNUMBER(E199),ISNUMBER(F199)),E199*F199,"")</f>
        <v>346.25</v>
      </c>
    </row>
    <row r="200">
      <c r="A200" s="7" t="s">
        <v>44</v>
      </c>
      <c r="B200" s="7" t="s">
        <v>71</v>
      </c>
      <c r="C200" s="7">
        <v>59.2</v>
      </c>
      <c r="D200" s="7">
        <v>2750</v>
      </c>
      <c r="E200" s="7">
        <v>25</v>
      </c>
      <c r="F200" s="7">
        <v>16.1</v>
      </c>
      <c r="G200" s="8">
        <f>IF(AND(ISNUMBER(E200),ISNUMBER(F200)),E200*F200,"")</f>
        <v>402.50000000000006</v>
      </c>
    </row>
    <row r="201">
      <c r="A201" s="7" t="s">
        <v>44</v>
      </c>
      <c r="B201" s="7" t="s">
        <v>71</v>
      </c>
      <c r="C201" s="7">
        <v>61.7</v>
      </c>
      <c r="D201" s="7">
        <v>3000</v>
      </c>
      <c r="E201" s="7">
        <v>25</v>
      </c>
      <c r="F201" s="7">
        <v>18.4</v>
      </c>
      <c r="G201" s="8">
        <f>IF(AND(ISNUMBER(E201),ISNUMBER(F201)),E201*F201,"")</f>
        <v>459.99999999999994</v>
      </c>
    </row>
    <row r="202">
      <c r="A202" s="7" t="s">
        <v>44</v>
      </c>
      <c r="B202" s="7" t="s">
        <v>71</v>
      </c>
      <c r="C202" s="7">
        <v>66.3</v>
      </c>
      <c r="D202" s="7">
        <v>3500</v>
      </c>
      <c r="E202" s="7">
        <v>25</v>
      </c>
      <c r="F202" s="7">
        <v>23.5</v>
      </c>
      <c r="G202" s="8">
        <f>IF(AND(ISNUMBER(E202),ISNUMBER(F202)),E202*F202,"")</f>
        <v>587.5</v>
      </c>
    </row>
    <row r="203">
      <c r="A203" s="7" t="s">
        <v>44</v>
      </c>
      <c r="B203" s="7" t="s">
        <v>71</v>
      </c>
      <c r="C203" s="7">
        <v>70.1</v>
      </c>
      <c r="D203" s="7">
        <v>3970</v>
      </c>
      <c r="E203" s="7">
        <v>25</v>
      </c>
      <c r="F203" s="7">
        <v>28.1</v>
      </c>
      <c r="G203" s="8">
        <f>IF(AND(ISNUMBER(E203),ISNUMBER(F203)),E203*F203,"")</f>
        <v>702.5</v>
      </c>
    </row>
    <row r="204">
      <c r="A204" s="7" t="s">
        <v>49</v>
      </c>
      <c r="B204" s="7" t="s">
        <v>72</v>
      </c>
      <c r="C204" s="7">
        <v>20</v>
      </c>
      <c r="D204" s="7">
        <v>78</v>
      </c>
      <c r="E204" s="7">
        <v>24</v>
      </c>
      <c r="F204" s="7">
        <v>0.8</v>
      </c>
      <c r="G204" s="8">
        <f>IF(AND(ISNUMBER(E204),ISNUMBER(F204)),E204*F204,"")</f>
        <v>19.200000000000003</v>
      </c>
    </row>
    <row r="205">
      <c r="A205" s="7" t="s">
        <v>49</v>
      </c>
      <c r="B205" s="7" t="s">
        <v>72</v>
      </c>
      <c r="C205" s="7">
        <v>30</v>
      </c>
      <c r="D205" s="7">
        <v>180</v>
      </c>
      <c r="E205" s="7">
        <v>24</v>
      </c>
      <c r="F205" s="7">
        <v>1.4</v>
      </c>
      <c r="G205" s="8">
        <f>IF(AND(ISNUMBER(E205),ISNUMBER(F205)),E205*F205,"")</f>
        <v>33.599999999999994</v>
      </c>
    </row>
    <row r="206">
      <c r="A206" s="7" t="s">
        <v>49</v>
      </c>
      <c r="B206" s="7" t="s">
        <v>72</v>
      </c>
      <c r="C206" s="7">
        <v>40</v>
      </c>
      <c r="D206" s="7">
        <v>321</v>
      </c>
      <c r="E206" s="7">
        <v>24</v>
      </c>
      <c r="F206" s="7">
        <v>2.5</v>
      </c>
      <c r="G206" s="8">
        <f>IF(AND(ISNUMBER(E206),ISNUMBER(F206)),E206*F206,"")</f>
        <v>60</v>
      </c>
    </row>
    <row r="207">
      <c r="A207" s="7" t="s">
        <v>49</v>
      </c>
      <c r="B207" s="7" t="s">
        <v>72</v>
      </c>
      <c r="C207" s="7">
        <v>50</v>
      </c>
      <c r="D207" s="7">
        <v>483</v>
      </c>
      <c r="E207" s="7">
        <v>24</v>
      </c>
      <c r="F207" s="7">
        <v>3.8</v>
      </c>
      <c r="G207" s="8">
        <f>IF(AND(ISNUMBER(E207),ISNUMBER(F207)),E207*F207,"")</f>
        <v>91.19999999999999</v>
      </c>
    </row>
    <row r="208">
      <c r="A208" s="7" t="s">
        <v>49</v>
      </c>
      <c r="B208" s="7" t="s">
        <v>72</v>
      </c>
      <c r="C208" s="7">
        <v>60</v>
      </c>
      <c r="D208" s="7">
        <v>640</v>
      </c>
      <c r="E208" s="7">
        <v>24</v>
      </c>
      <c r="F208" s="7">
        <v>5.8</v>
      </c>
      <c r="G208" s="8">
        <f>IF(AND(ISNUMBER(E208),ISNUMBER(F208)),E208*F208,"")</f>
        <v>139.2</v>
      </c>
    </row>
    <row r="209">
      <c r="A209" s="7" t="s">
        <v>49</v>
      </c>
      <c r="B209" s="7" t="s">
        <v>72</v>
      </c>
      <c r="C209" s="7">
        <v>70</v>
      </c>
      <c r="D209" s="7">
        <v>854</v>
      </c>
      <c r="E209" s="7">
        <v>24</v>
      </c>
      <c r="F209" s="7">
        <v>8.4</v>
      </c>
      <c r="G209" s="8">
        <f>IF(AND(ISNUMBER(E209),ISNUMBER(F209)),E209*F209,"")</f>
        <v>201.60000000000002</v>
      </c>
    </row>
    <row r="210">
      <c r="A210" s="7" t="s">
        <v>49</v>
      </c>
      <c r="B210" s="7" t="s">
        <v>72</v>
      </c>
      <c r="C210" s="7">
        <v>80</v>
      </c>
      <c r="D210" s="7">
        <v>1093</v>
      </c>
      <c r="E210" s="7">
        <v>24</v>
      </c>
      <c r="F210" s="7">
        <v>11.6</v>
      </c>
      <c r="G210" s="8">
        <f>IF(AND(ISNUMBER(E210),ISNUMBER(F210)),E210*F210,"")</f>
        <v>278.4</v>
      </c>
    </row>
    <row r="211">
      <c r="A211" s="7" t="s">
        <v>49</v>
      </c>
      <c r="B211" s="7" t="s">
        <v>72</v>
      </c>
      <c r="C211" s="7">
        <v>90</v>
      </c>
      <c r="D211" s="7">
        <v>1310</v>
      </c>
      <c r="E211" s="7">
        <v>24</v>
      </c>
      <c r="F211" s="7">
        <v>15.5</v>
      </c>
      <c r="G211" s="8">
        <f>IF(AND(ISNUMBER(E211),ISNUMBER(F211)),E211*F211,"")</f>
        <v>372</v>
      </c>
    </row>
    <row r="212">
      <c r="A212" s="7" t="s">
        <v>49</v>
      </c>
      <c r="B212" s="7" t="s">
        <v>72</v>
      </c>
      <c r="C212" s="7">
        <v>100</v>
      </c>
      <c r="D212" s="7">
        <v>1568</v>
      </c>
      <c r="E212" s="7">
        <v>24</v>
      </c>
      <c r="F212" s="7">
        <v>19.8</v>
      </c>
      <c r="G212" s="8">
        <f>IF(AND(ISNUMBER(E212),ISNUMBER(F212)),E212*F212,"")</f>
        <v>475.20000000000005</v>
      </c>
    </row>
  </sheetData>
  <autoFilter ref="A1:G212"/>
  <dataValidations count="2">
    <dataValidation type="list" allowBlank="1" sqref="A2:A1000">
      <formula1>Motors!$A$2:$A$1000</formula1>
    </dataValidation>
    <dataValidation type="list" allowBlank="1" sqref="B2:B1000">
      <formula1>Props!$A$2:$A$1000</formula1>
    </dataValidation>
  </dataValidations>
  <pageMargins left="0.75" right="0.75" top="1" bottom="1" header="0.5" footer="0.5"/>
  <pageSetup orientation="portrait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pane xSplit="1" ySplit="1" topLeftCell="B2" activePane="bottomRight" state="frozen"/>
      <selection pane="bottomRight" activeCell="A21" sqref="A21"/>
    </sheetView>
  </sheetViews>
  <sheetFormatPr defaultRowHeight="15"/>
  <cols>
    <col min="1" max="1" width="24.00390625" customWidth="1"/>
    <col min="2" max="2" width="12.00390625" customWidth="1"/>
    <col min="3" max="3" width="13.00390625" customWidth="1"/>
    <col min="4" max="5" width="11.00390625" customWidth="1"/>
    <col min="6" max="6" width="40.00390625" customWidth="1"/>
    <col min="7" max="7" width="10.00390625" customWidth="1"/>
    <col min="8" max="8" width="40.00390625" customWidth="1"/>
    <col min="9" max="9" width="22.00390625" customWidth="1"/>
  </cols>
  <sheetData>
    <row r="1" ht="30" customHeight="1">
      <c r="A1" s="6" t="s">
        <v>17</v>
      </c>
      <c r="B1" s="6" t="s">
        <v>18</v>
      </c>
      <c r="C1" s="6" t="s">
        <v>73</v>
      </c>
      <c r="D1" s="6" t="s">
        <v>74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75</v>
      </c>
    </row>
    <row r="2">
      <c r="A2" s="7" t="s">
        <v>58</v>
      </c>
      <c r="B2" s="7" t="s">
        <v>76</v>
      </c>
      <c r="C2" s="7">
        <v>16</v>
      </c>
      <c r="D2" s="7">
        <v>8</v>
      </c>
      <c r="E2" s="7">
        <v>51.87</v>
      </c>
      <c r="F2" s="7"/>
      <c r="G2" s="7"/>
      <c r="H2" s="7"/>
      <c r="I2" s="9" t="s">
        <v>77</v>
      </c>
    </row>
    <row r="3">
      <c r="A3" s="7" t="s">
        <v>59</v>
      </c>
      <c r="B3" s="7" t="s">
        <v>76</v>
      </c>
      <c r="C3" s="7">
        <v>16</v>
      </c>
      <c r="D3" s="7">
        <v>6</v>
      </c>
      <c r="E3" s="7">
        <v>51.029</v>
      </c>
      <c r="F3" s="7"/>
      <c r="G3" s="7"/>
      <c r="H3" s="7"/>
      <c r="I3" s="9" t="s">
        <v>77</v>
      </c>
    </row>
    <row r="4">
      <c r="A4" s="7" t="s">
        <v>60</v>
      </c>
      <c r="B4" s="7" t="s">
        <v>76</v>
      </c>
      <c r="C4" s="7">
        <v>16</v>
      </c>
      <c r="D4" s="7">
        <v>8</v>
      </c>
      <c r="E4" s="7">
        <v>51.87</v>
      </c>
      <c r="F4" s="7"/>
      <c r="G4" s="7"/>
      <c r="H4" s="7"/>
      <c r="I4" s="9" t="s">
        <v>78</v>
      </c>
    </row>
    <row r="5">
      <c r="A5" s="7" t="s">
        <v>61</v>
      </c>
      <c r="B5" s="7" t="s">
        <v>79</v>
      </c>
      <c r="C5" s="7">
        <v>24</v>
      </c>
      <c r="D5" s="7">
        <v>8</v>
      </c>
      <c r="E5" s="7"/>
      <c r="F5" s="7"/>
      <c r="G5" s="7"/>
      <c r="H5" s="7"/>
      <c r="I5" s="9"/>
    </row>
    <row r="6">
      <c r="A6" s="7" t="s">
        <v>62</v>
      </c>
      <c r="B6" s="7" t="s">
        <v>80</v>
      </c>
      <c r="C6" s="7">
        <v>22.1</v>
      </c>
      <c r="D6" s="7">
        <v>7.4</v>
      </c>
      <c r="E6" s="7"/>
      <c r="F6" s="7"/>
      <c r="G6" s="7"/>
      <c r="H6" s="7"/>
      <c r="I6" s="9"/>
    </row>
    <row r="7">
      <c r="A7" s="7" t="s">
        <v>63</v>
      </c>
      <c r="B7" s="7" t="s">
        <v>79</v>
      </c>
      <c r="C7" s="7">
        <v>30</v>
      </c>
      <c r="D7" s="7">
        <v>9.8</v>
      </c>
      <c r="E7" s="7"/>
      <c r="F7" s="7"/>
      <c r="G7" s="7"/>
      <c r="H7" s="7"/>
      <c r="I7" s="9"/>
    </row>
    <row r="8">
      <c r="A8" s="7" t="s">
        <v>64</v>
      </c>
      <c r="B8" s="7" t="s">
        <v>81</v>
      </c>
      <c r="C8" s="7">
        <v>13</v>
      </c>
      <c r="D8" s="7">
        <v>9</v>
      </c>
      <c r="E8" s="7"/>
      <c r="F8" s="7"/>
      <c r="G8" s="7"/>
      <c r="H8" s="7"/>
      <c r="I8" s="9"/>
    </row>
    <row r="9">
      <c r="A9" s="7" t="s">
        <v>65</v>
      </c>
      <c r="B9" s="7" t="s">
        <v>76</v>
      </c>
      <c r="C9" s="7">
        <v>15</v>
      </c>
      <c r="D9" s="7">
        <v>4</v>
      </c>
      <c r="E9" s="7"/>
      <c r="F9" s="7"/>
      <c r="G9" s="7"/>
      <c r="H9" s="7"/>
      <c r="I9" s="9" t="s">
        <v>82</v>
      </c>
    </row>
    <row r="10">
      <c r="A10" s="7" t="s">
        <v>66</v>
      </c>
      <c r="B10" s="7" t="s">
        <v>81</v>
      </c>
      <c r="C10" s="7">
        <v>11</v>
      </c>
      <c r="D10" s="7">
        <v>4.5</v>
      </c>
      <c r="E10" s="7"/>
      <c r="F10" s="7"/>
      <c r="G10" s="7"/>
      <c r="H10" s="7"/>
      <c r="I10" s="9"/>
    </row>
    <row r="11">
      <c r="A11" s="7" t="s">
        <v>67</v>
      </c>
      <c r="B11" s="7" t="s">
        <v>83</v>
      </c>
      <c r="C11" s="7">
        <v>10</v>
      </c>
      <c r="D11" s="7">
        <v>5</v>
      </c>
      <c r="E11" s="7"/>
      <c r="F11" s="7"/>
      <c r="G11" s="7"/>
      <c r="H11" s="7"/>
      <c r="I11" s="9"/>
    </row>
    <row r="12">
      <c r="A12" s="7" t="s">
        <v>68</v>
      </c>
      <c r="B12" s="7" t="s">
        <v>81</v>
      </c>
      <c r="C12" s="7">
        <v>8</v>
      </c>
      <c r="D12" s="7">
        <v>4.5</v>
      </c>
      <c r="E12" s="7"/>
      <c r="F12" s="7"/>
      <c r="G12" s="7"/>
      <c r="H12" s="7"/>
      <c r="I12" s="9"/>
    </row>
    <row r="13">
      <c r="A13" s="7" t="s">
        <v>69</v>
      </c>
      <c r="B13" s="7" t="s">
        <v>81</v>
      </c>
      <c r="C13" s="7">
        <v>10</v>
      </c>
      <c r="D13" s="7">
        <v>5</v>
      </c>
      <c r="E13" s="7"/>
      <c r="F13" s="7"/>
      <c r="G13" s="7"/>
      <c r="H13" s="7"/>
      <c r="I13" s="9"/>
    </row>
    <row r="14">
      <c r="A14" s="7" t="s">
        <v>70</v>
      </c>
      <c r="B14" s="7" t="s">
        <v>81</v>
      </c>
      <c r="C14" s="7">
        <v>8</v>
      </c>
      <c r="D14" s="7">
        <v>4</v>
      </c>
      <c r="E14" s="7"/>
      <c r="F14" s="7"/>
      <c r="G14" s="7"/>
      <c r="H14" s="7"/>
      <c r="I14" s="9"/>
    </row>
    <row r="15">
      <c r="A15" s="7" t="s">
        <v>71</v>
      </c>
      <c r="B15" s="7" t="s">
        <v>84</v>
      </c>
      <c r="C15" s="7">
        <v>18</v>
      </c>
      <c r="D15" s="7">
        <v>6.2</v>
      </c>
      <c r="E15" s="7"/>
      <c r="F15" s="7"/>
      <c r="G15" s="7"/>
      <c r="H15" s="7"/>
      <c r="I15" s="9"/>
    </row>
    <row r="16">
      <c r="A16" s="7" t="s">
        <v>85</v>
      </c>
      <c r="B16" s="7" t="s">
        <v>76</v>
      </c>
      <c r="C16" s="7">
        <v>8</v>
      </c>
      <c r="D16" s="7">
        <v>4</v>
      </c>
      <c r="E16" s="7">
        <v>13</v>
      </c>
      <c r="F16" s="7"/>
      <c r="G16" s="7"/>
      <c r="H16" s="7"/>
      <c r="I16" s="9" t="s">
        <v>86</v>
      </c>
    </row>
    <row r="17">
      <c r="A17" s="7" t="s">
        <v>72</v>
      </c>
      <c r="B17" s="7" t="s">
        <v>76</v>
      </c>
      <c r="C17" s="7">
        <v>8</v>
      </c>
      <c r="D17" s="7">
        <v>6</v>
      </c>
      <c r="E17" s="7">
        <v>13.89</v>
      </c>
      <c r="F17" s="10" t="s">
        <v>87</v>
      </c>
      <c r="G17" s="7"/>
      <c r="H17" s="7"/>
      <c r="I17" s="9" t="s">
        <v>82</v>
      </c>
    </row>
    <row r="18">
      <c r="A18" s="7" t="s">
        <v>88</v>
      </c>
      <c r="B18" s="7" t="s">
        <v>76</v>
      </c>
      <c r="C18" s="7">
        <v>8</v>
      </c>
      <c r="D18" s="7">
        <v>6</v>
      </c>
      <c r="E18" s="7">
        <v>13.89</v>
      </c>
      <c r="F18" s="10" t="s">
        <v>87</v>
      </c>
      <c r="G18" s="7"/>
      <c r="H18" s="7"/>
      <c r="I18" s="9" t="s">
        <v>89</v>
      </c>
    </row>
    <row r="19">
      <c r="A19" s="7" t="s">
        <v>90</v>
      </c>
      <c r="B19" s="7" t="s">
        <v>76</v>
      </c>
      <c r="C19" s="7">
        <v>16</v>
      </c>
      <c r="D19" s="7">
        <v>10</v>
      </c>
      <c r="E19" s="7">
        <v>51.88</v>
      </c>
      <c r="G19" s="7"/>
      <c r="H19" s="7"/>
      <c r="I19" s="9" t="s">
        <v>89</v>
      </c>
    </row>
    <row r="20">
      <c r="A20" s="7" t="s">
        <v>91</v>
      </c>
      <c r="B20" s="7" t="s">
        <v>76</v>
      </c>
      <c r="C20" s="7">
        <v>16</v>
      </c>
      <c r="D20" s="7">
        <v>10</v>
      </c>
      <c r="E20" s="7">
        <v>51.88</v>
      </c>
      <c r="H20" t="s">
        <v>92</v>
      </c>
    </row>
  </sheetData>
  <autoFilter ref="A1:I19"/>
  <hyperlinks>
    <hyperlink ref="F17" r:id="rId1"/>
    <hyperlink ref="F18" r:id="rId2"/>
  </hyperlinks>
  <pageMargins left="0.75" right="0.75" top="1" bottom="1" header="0.5" footer="0.5"/>
  <pageSetup orientation="portrait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xSplit="1" ySplit="1" topLeftCell="B2" activePane="bottomRight" state="frozen"/>
      <selection pane="bottomRight" activeCell="A1" sqref="A1"/>
    </sheetView>
  </sheetViews>
  <sheetFormatPr defaultRowHeight="15"/>
  <cols>
    <col min="1" max="1" width="44.00390625" customWidth="1"/>
    <col min="2" max="2" width="11.00390625" customWidth="1"/>
    <col min="3" max="4" width="9.00390625" customWidth="1"/>
    <col min="5" max="5" width="18.00390625" customWidth="1"/>
    <col min="6" max="6" width="15.00390625" customWidth="1"/>
    <col min="7" max="7" width="13.00390625" customWidth="1"/>
    <col min="8" max="8" width="9.00390625" customWidth="1"/>
    <col min="9" max="9" width="40.00390625" customWidth="1"/>
    <col min="10" max="10" width="10.00390625" customWidth="1"/>
    <col min="11" max="11" width="40.00390625" customWidth="1"/>
  </cols>
  <sheetData>
    <row r="1" ht="30" customHeight="1">
      <c r="A1" s="6" t="s">
        <v>17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26</v>
      </c>
      <c r="J1" s="6" t="s">
        <v>27</v>
      </c>
      <c r="K1" s="6" t="s">
        <v>28</v>
      </c>
    </row>
    <row r="2">
      <c r="A2" s="7" t="s">
        <v>100</v>
      </c>
      <c r="B2" s="7" t="s">
        <v>101</v>
      </c>
      <c r="C2" s="7">
        <v>6</v>
      </c>
      <c r="D2" s="7">
        <v>1</v>
      </c>
      <c r="E2" s="7">
        <v>7000</v>
      </c>
      <c r="F2" s="7">
        <v>870</v>
      </c>
      <c r="G2" s="7">
        <v>25</v>
      </c>
      <c r="H2" s="7">
        <v>50</v>
      </c>
      <c r="I2" s="7"/>
      <c r="J2" s="7"/>
      <c r="K2" s="7"/>
    </row>
    <row r="3">
      <c r="A3" s="7" t="s">
        <v>102</v>
      </c>
      <c r="B3" s="7" t="s">
        <v>101</v>
      </c>
      <c r="C3" s="7">
        <v>4</v>
      </c>
      <c r="D3" s="7">
        <v>1</v>
      </c>
      <c r="E3" s="7">
        <v>550</v>
      </c>
      <c r="F3" s="7">
        <v>60</v>
      </c>
      <c r="G3" s="7">
        <v>95</v>
      </c>
      <c r="H3" s="7">
        <v>190</v>
      </c>
      <c r="I3" s="7"/>
      <c r="J3" s="7"/>
      <c r="K3" s="7"/>
    </row>
    <row r="4">
      <c r="A4" s="7" t="s">
        <v>103</v>
      </c>
      <c r="B4" s="7" t="s">
        <v>104</v>
      </c>
      <c r="C4" s="7">
        <v>6</v>
      </c>
      <c r="D4" s="7">
        <v>1</v>
      </c>
      <c r="E4" s="7">
        <v>4000</v>
      </c>
      <c r="F4" s="7">
        <v>305</v>
      </c>
      <c r="G4" s="7">
        <v>1.5</v>
      </c>
      <c r="H4" s="7">
        <v>4</v>
      </c>
      <c r="I4" s="7"/>
      <c r="J4" s="7"/>
      <c r="K4" s="7"/>
    </row>
  </sheetData>
  <autoFilter ref="A1:K4"/>
  <dataValidations count="1">
    <dataValidation type="list" allowBlank="1" sqref="B2:B1000">
      <formula1>Lists!$D$1:$D$4</formula1>
    </dataValidation>
  </dataValidations>
  <pageMargins left="0.75" right="0.75" top="1" bottom="1" header="0.5" footer="0.5"/>
  <pageSetup orientation="portrait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"/>
  <sheetViews>
    <sheetView zoomScale="120" zoomScaleNormal="120" workbookViewId="0">
      <pane xSplit="1" ySplit="1" topLeftCell="B2" activePane="bottomRight" state="frozen"/>
      <selection pane="bottomRight" activeCell="A1" sqref="A1"/>
    </sheetView>
  </sheetViews>
  <sheetFormatPr defaultRowHeight="15"/>
  <cols>
    <col min="1" max="1" width="36.00390625" customWidth="1"/>
    <col min="2" max="2" width="15.00390625" customWidth="1"/>
    <col min="3" max="3" width="11.00390625" customWidth="1"/>
    <col min="4" max="4" width="6.00390625" customWidth="1"/>
    <col min="5" max="5" width="11.00390625" customWidth="1"/>
    <col min="6" max="6" width="13.00390625" customWidth="1"/>
    <col min="7" max="7" width="14.00390625" customWidth="1"/>
    <col min="8" max="8" width="13.00390625" customWidth="1"/>
    <col min="9" max="9" width="40.00390625" customWidth="1"/>
    <col min="10" max="10" width="24.00390625" customWidth="1"/>
    <col min="11" max="11" width="10.00390625" customWidth="1"/>
    <col min="12" max="12" width="40.00390625" customWidth="1"/>
  </cols>
  <sheetData>
    <row r="1" ht="30" customHeight="1">
      <c r="A1" s="6" t="s">
        <v>17</v>
      </c>
      <c r="B1" s="6" t="s">
        <v>105</v>
      </c>
      <c r="C1" s="6" t="s">
        <v>25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110</v>
      </c>
      <c r="I1" s="6" t="s">
        <v>26</v>
      </c>
      <c r="J1" s="6" t="s">
        <v>111</v>
      </c>
      <c r="K1" s="6" t="s">
        <v>27</v>
      </c>
      <c r="L1" s="6" t="s">
        <v>28</v>
      </c>
    </row>
    <row r="2">
      <c r="A2" s="7" t="s">
        <v>112</v>
      </c>
      <c r="B2" s="7" t="s">
        <v>113</v>
      </c>
      <c r="C2" s="7">
        <v>20</v>
      </c>
      <c r="D2" s="7">
        <v>1</v>
      </c>
      <c r="E2" s="7" t="s">
        <v>114</v>
      </c>
      <c r="F2" s="7"/>
      <c r="G2" s="7"/>
      <c r="H2" s="7" t="s">
        <v>114</v>
      </c>
      <c r="I2" s="7"/>
      <c r="J2" s="7"/>
      <c r="K2" s="7"/>
      <c r="L2" s="7"/>
    </row>
    <row r="3">
      <c r="A3" s="7" t="s">
        <v>115</v>
      </c>
      <c r="B3" s="7" t="s">
        <v>116</v>
      </c>
      <c r="C3" s="7">
        <v>5</v>
      </c>
      <c r="D3" s="7">
        <v>1</v>
      </c>
      <c r="E3" s="7" t="s">
        <v>114</v>
      </c>
      <c r="F3" s="7"/>
      <c r="G3" s="7"/>
      <c r="H3" s="7" t="s">
        <v>114</v>
      </c>
      <c r="I3" s="7"/>
      <c r="J3" s="7"/>
      <c r="K3" s="7"/>
      <c r="L3" s="7"/>
    </row>
    <row r="4">
      <c r="A4" s="7" t="s">
        <v>117</v>
      </c>
      <c r="B4" s="7" t="s">
        <v>116</v>
      </c>
      <c r="C4" s="7">
        <v>70</v>
      </c>
      <c r="D4" s="7">
        <v>1</v>
      </c>
      <c r="E4" s="7" t="s">
        <v>114</v>
      </c>
      <c r="F4" s="7"/>
      <c r="G4" s="7"/>
      <c r="H4" s="7" t="s">
        <v>114</v>
      </c>
      <c r="I4" s="7"/>
      <c r="J4" s="7"/>
      <c r="K4" s="7"/>
      <c r="L4" s="7"/>
    </row>
    <row r="5">
      <c r="A5" s="7" t="s">
        <v>118</v>
      </c>
      <c r="B5" s="7" t="s">
        <v>119</v>
      </c>
      <c r="C5" s="7">
        <v>9.6</v>
      </c>
      <c r="D5" s="7">
        <v>1</v>
      </c>
      <c r="E5" s="7" t="s">
        <v>120</v>
      </c>
      <c r="F5" s="7">
        <v>2.5</v>
      </c>
      <c r="G5" s="7">
        <v>5</v>
      </c>
      <c r="H5" s="7" t="s">
        <v>114</v>
      </c>
      <c r="I5" s="7"/>
      <c r="J5" s="7"/>
      <c r="K5" s="7"/>
      <c r="L5" s="7"/>
    </row>
    <row r="6">
      <c r="A6" s="7" t="s">
        <v>121</v>
      </c>
      <c r="B6" s="7" t="s">
        <v>119</v>
      </c>
      <c r="C6" s="7">
        <v>53</v>
      </c>
      <c r="D6" s="7">
        <v>1</v>
      </c>
      <c r="E6" s="7" t="s">
        <v>120</v>
      </c>
      <c r="F6" s="7">
        <v>2.5</v>
      </c>
      <c r="G6" s="7">
        <v>3</v>
      </c>
      <c r="H6" s="7" t="s">
        <v>114</v>
      </c>
      <c r="I6" s="7"/>
      <c r="J6" s="7"/>
      <c r="K6" s="7"/>
      <c r="L6" s="7"/>
    </row>
    <row r="7">
      <c r="A7" s="7" t="s">
        <v>122</v>
      </c>
      <c r="B7" s="7" t="s">
        <v>119</v>
      </c>
      <c r="C7" s="7">
        <v>73</v>
      </c>
      <c r="D7" s="7">
        <v>1</v>
      </c>
      <c r="E7" s="7" t="s">
        <v>120</v>
      </c>
      <c r="F7" s="7">
        <v>5</v>
      </c>
      <c r="G7" s="7">
        <v>14</v>
      </c>
      <c r="H7" s="7" t="s">
        <v>114</v>
      </c>
      <c r="I7" s="7"/>
      <c r="J7" s="7"/>
      <c r="K7" s="7"/>
      <c r="L7" s="7"/>
    </row>
    <row r="8">
      <c r="A8" s="7" t="s">
        <v>123</v>
      </c>
      <c r="B8" s="7" t="s">
        <v>119</v>
      </c>
      <c r="C8" s="7">
        <v>10</v>
      </c>
      <c r="D8" s="7">
        <v>1</v>
      </c>
      <c r="E8" s="7" t="s">
        <v>120</v>
      </c>
      <c r="F8" s="7">
        <v>1</v>
      </c>
      <c r="G8" s="7">
        <v>1</v>
      </c>
      <c r="H8" s="7" t="s">
        <v>114</v>
      </c>
      <c r="I8" s="7"/>
      <c r="J8" s="7"/>
      <c r="K8" s="7"/>
      <c r="L8" s="7"/>
    </row>
    <row r="9">
      <c r="A9" s="7" t="s">
        <v>124</v>
      </c>
      <c r="B9" s="7" t="s">
        <v>119</v>
      </c>
      <c r="C9" s="7">
        <v>12.2</v>
      </c>
      <c r="D9" s="7">
        <v>1</v>
      </c>
      <c r="E9" s="7" t="s">
        <v>120</v>
      </c>
      <c r="F9" s="7">
        <v>0.5</v>
      </c>
      <c r="G9" s="7">
        <v>0.6</v>
      </c>
      <c r="H9" s="7" t="s">
        <v>114</v>
      </c>
      <c r="I9" s="7"/>
      <c r="J9" s="7"/>
      <c r="K9" s="7"/>
      <c r="L9" s="7"/>
    </row>
    <row r="10">
      <c r="A10" s="7" t="s">
        <v>125</v>
      </c>
      <c r="B10" s="7" t="s">
        <v>126</v>
      </c>
      <c r="C10" s="7">
        <v>95</v>
      </c>
      <c r="D10" s="7">
        <v>1</v>
      </c>
      <c r="E10" s="7" t="s">
        <v>127</v>
      </c>
      <c r="F10" s="7">
        <v>5</v>
      </c>
      <c r="G10" s="7">
        <v>12</v>
      </c>
      <c r="H10" s="7" t="s">
        <v>114</v>
      </c>
      <c r="I10" s="7"/>
      <c r="J10" s="7"/>
      <c r="K10" s="7"/>
      <c r="L10" s="10" t="s">
        <v>128</v>
      </c>
    </row>
    <row r="11">
      <c r="A11" s="7" t="s">
        <v>129</v>
      </c>
      <c r="B11" s="7" t="s">
        <v>126</v>
      </c>
      <c r="C11" s="7">
        <v>60</v>
      </c>
      <c r="D11" s="7">
        <v>1</v>
      </c>
      <c r="E11" s="7" t="s">
        <v>120</v>
      </c>
      <c r="F11" s="7">
        <v>1</v>
      </c>
      <c r="G11" s="7">
        <v>1.5</v>
      </c>
      <c r="H11" s="7" t="s">
        <v>114</v>
      </c>
      <c r="I11" s="7"/>
      <c r="J11" s="7"/>
      <c r="K11" s="7"/>
      <c r="L11" s="7"/>
    </row>
    <row r="12">
      <c r="A12" s="7" t="s">
        <v>130</v>
      </c>
      <c r="B12" s="7" t="s">
        <v>126</v>
      </c>
      <c r="C12" s="7">
        <v>37</v>
      </c>
      <c r="D12" s="7">
        <v>1</v>
      </c>
      <c r="E12" s="7" t="s">
        <v>120</v>
      </c>
      <c r="F12" s="7">
        <v>1.5</v>
      </c>
      <c r="G12" s="7">
        <v>2</v>
      </c>
      <c r="H12" s="7" t="s">
        <v>114</v>
      </c>
      <c r="I12" s="7"/>
      <c r="J12" s="7"/>
      <c r="K12" s="7"/>
      <c r="L12" s="7"/>
    </row>
    <row r="13">
      <c r="A13" s="7" t="s">
        <v>131</v>
      </c>
      <c r="B13" s="7" t="s">
        <v>132</v>
      </c>
      <c r="C13" s="7">
        <v>3.4</v>
      </c>
      <c r="D13" s="7">
        <v>1</v>
      </c>
      <c r="E13" s="7" t="s">
        <v>120</v>
      </c>
      <c r="F13" s="7">
        <v>0.5</v>
      </c>
      <c r="G13" s="7">
        <v>0.6</v>
      </c>
      <c r="H13" s="7" t="s">
        <v>133</v>
      </c>
      <c r="I13" s="7"/>
      <c r="J13" s="7"/>
      <c r="K13" s="7"/>
      <c r="L13" s="7"/>
    </row>
    <row r="14">
      <c r="A14" s="7" t="s">
        <v>134</v>
      </c>
      <c r="B14" s="7" t="s">
        <v>126</v>
      </c>
      <c r="C14" s="7">
        <v>18</v>
      </c>
      <c r="D14" s="7">
        <v>1</v>
      </c>
      <c r="E14" s="7" t="s">
        <v>120</v>
      </c>
      <c r="F14" s="7">
        <v>5</v>
      </c>
      <c r="G14" s="7">
        <v>5</v>
      </c>
      <c r="H14" s="7" t="s">
        <v>135</v>
      </c>
      <c r="I14" s="7"/>
      <c r="J14" s="7"/>
      <c r="K14" s="7"/>
      <c r="L14" s="7"/>
    </row>
    <row r="15">
      <c r="A15" s="7" t="s">
        <v>136</v>
      </c>
      <c r="B15" s="7" t="s">
        <v>132</v>
      </c>
      <c r="C15" s="7">
        <v>116</v>
      </c>
      <c r="D15" s="7">
        <v>1</v>
      </c>
      <c r="E15" s="7" t="s">
        <v>127</v>
      </c>
      <c r="F15" s="7">
        <v>8</v>
      </c>
      <c r="G15" s="7">
        <v>10</v>
      </c>
      <c r="H15" s="7" t="s">
        <v>137</v>
      </c>
      <c r="I15" s="7"/>
      <c r="J15" s="7"/>
      <c r="K15" s="7"/>
      <c r="L15" s="7"/>
    </row>
    <row r="16">
      <c r="A16" s="7" t="s">
        <v>138</v>
      </c>
      <c r="B16" s="7" t="s">
        <v>132</v>
      </c>
      <c r="C16" s="7">
        <v>128</v>
      </c>
      <c r="D16" s="7">
        <v>1</v>
      </c>
      <c r="E16" s="7" t="s">
        <v>127</v>
      </c>
      <c r="F16" s="7">
        <v>15</v>
      </c>
      <c r="G16" s="7">
        <v>25</v>
      </c>
      <c r="H16" s="7" t="s">
        <v>114</v>
      </c>
      <c r="I16" s="7"/>
      <c r="J16" s="7"/>
      <c r="K16" s="7"/>
      <c r="L16" s="7"/>
    </row>
    <row r="17">
      <c r="A17" s="7" t="s">
        <v>139</v>
      </c>
      <c r="B17" s="7" t="s">
        <v>132</v>
      </c>
      <c r="C17" s="7">
        <v>25</v>
      </c>
      <c r="D17" s="7">
        <v>1</v>
      </c>
      <c r="E17" s="7" t="s">
        <v>127</v>
      </c>
      <c r="F17" s="7">
        <v>2.5</v>
      </c>
      <c r="G17" s="7">
        <v>2.5</v>
      </c>
      <c r="H17" s="7" t="s">
        <v>114</v>
      </c>
      <c r="I17" s="7"/>
      <c r="J17" s="7"/>
      <c r="K17" s="7"/>
      <c r="L17" s="10" t="s">
        <v>140</v>
      </c>
    </row>
    <row r="18">
      <c r="A18" s="7" t="s">
        <v>141</v>
      </c>
      <c r="B18" s="7" t="s">
        <v>142</v>
      </c>
      <c r="C18" s="7">
        <v>95</v>
      </c>
      <c r="D18" s="7">
        <v>1</v>
      </c>
      <c r="E18" s="7" t="s">
        <v>127</v>
      </c>
      <c r="F18" s="7">
        <v>15</v>
      </c>
      <c r="G18">
        <v>25</v>
      </c>
      <c r="H18" s="7" t="s">
        <v>114</v>
      </c>
      <c r="I18" s="7"/>
      <c r="J18" s="7"/>
      <c r="K18" s="7"/>
      <c r="L18" s="7"/>
    </row>
    <row r="19">
      <c r="A19" s="7" t="s">
        <v>143</v>
      </c>
      <c r="B19" s="7" t="s">
        <v>142</v>
      </c>
      <c r="C19">
        <v>175</v>
      </c>
      <c r="D19">
        <v>1</v>
      </c>
      <c r="E19" s="7" t="s">
        <v>127</v>
      </c>
      <c r="F19" s="7">
        <v>15</v>
      </c>
      <c r="G19">
        <v>25</v>
      </c>
      <c r="H19" s="7" t="s">
        <v>114</v>
      </c>
      <c r="I19" s="7"/>
      <c r="J19" s="7"/>
      <c r="K19" s="7"/>
      <c r="L19" s="7"/>
    </row>
    <row r="20">
      <c r="A20" s="7"/>
      <c r="I20" s="7"/>
      <c r="J20" s="7"/>
      <c r="K20" s="7"/>
      <c r="L20" s="7"/>
    </row>
    <row r="21">
      <c r="I21" s="7"/>
      <c r="J21" s="7"/>
      <c r="K21" s="7"/>
      <c r="L21" s="7"/>
    </row>
    <row r="22">
      <c r="I22" s="7"/>
      <c r="J22" s="7"/>
      <c r="K22" s="7"/>
      <c r="L22" s="7"/>
    </row>
  </sheetData>
  <autoFilter ref="A1:L22"/>
  <conditionalFormatting sqref="B2:B996">
    <cfRule type="expression" dxfId="0" priority="1">
      <formula>$B2="Structures"</formula>
    </cfRule>
  </conditionalFormatting>
  <conditionalFormatting sqref="B2:B996">
    <cfRule type="expression" dxfId="1" priority="2">
      <formula>$B2="3D printed"</formula>
    </cfRule>
  </conditionalFormatting>
  <conditionalFormatting sqref="B2:B996">
    <cfRule type="expression" dxfId="2" priority="3">
      <formula>$B2="Propulsion"</formula>
    </cfRule>
  </conditionalFormatting>
  <conditionalFormatting sqref="B2:B996">
    <cfRule type="expression" dxfId="3" priority="4">
      <formula>$B2="Power"</formula>
    </cfRule>
  </conditionalFormatting>
  <conditionalFormatting sqref="B2:B996">
    <cfRule type="expression" dxfId="4" priority="5">
      <formula>$B2="Avionics"</formula>
    </cfRule>
  </conditionalFormatting>
  <conditionalFormatting sqref="B2:B996">
    <cfRule type="expression" dxfId="5" priority="6">
      <formula>$B2="Sensors"</formula>
    </cfRule>
  </conditionalFormatting>
  <conditionalFormatting sqref="B2:B996">
    <cfRule type="expression" dxfId="6" priority="7">
      <formula>$B2="Comms"</formula>
    </cfRule>
  </conditionalFormatting>
  <conditionalFormatting sqref="B2:B996">
    <cfRule type="expression" dxfId="7" priority="8">
      <formula>$B2="Compute"</formula>
    </cfRule>
  </conditionalFormatting>
  <conditionalFormatting sqref="B2:B996">
    <cfRule type="expression" dxfId="8" priority="9">
      <formula>$B2="Payload"</formula>
    </cfRule>
  </conditionalFormatting>
  <conditionalFormatting sqref="B2:B996">
    <cfRule type="expression" dxfId="9" priority="10">
      <formula>$B2="Wiring"</formula>
    </cfRule>
  </conditionalFormatting>
  <conditionalFormatting sqref="B2:B996">
    <cfRule type="expression" dxfId="10" priority="11">
      <formula>$B2="Hardware"</formula>
    </cfRule>
  </conditionalFormatting>
  <conditionalFormatting sqref="B2:B996">
    <cfRule type="expression" dxfId="11" priority="12">
      <formula>$B2="Other"</formula>
    </cfRule>
  </conditionalFormatting>
  <dataValidations count="3">
    <dataValidation type="list" allowBlank="1" sqref="B2:B996">
      <formula1>Lists!$A$1:$A$12</formula1>
    </dataValidation>
    <dataValidation type="list" allowBlank="1" sqref="E2:E996">
      <formula1>Lists!$B$1:$B$8</formula1>
    </dataValidation>
    <dataValidation type="list" allowBlank="1" sqref="H2:H996">
      <formula1>Lists!$C$1:$C$7</formula1>
    </dataValidation>
  </dataValidations>
  <hyperlinks>
    <hyperlink ref="L10" r:id="rId1"/>
    <hyperlink ref="L17" r:id="rId2"/>
  </hyperlinks>
  <pageMargins left="0.75" right="0.75" top="1" bottom="1" header="0.5" footer="0.5"/>
  <pageSetup orientation="portrait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1" ySplit="1" topLeftCell="B2" activePane="bottomRight" state="frozen"/>
      <selection pane="bottomRight" activeCell="A1" sqref="A1"/>
    </sheetView>
  </sheetViews>
  <sheetFormatPr defaultRowHeight="15"/>
  <cols>
    <col min="1" max="1" width="28.00390625" customWidth="1"/>
    <col min="2" max="2" width="13.00390625" customWidth="1"/>
    <col min="3" max="3" width="14.00390625" customWidth="1"/>
    <col min="4" max="5" width="11.00390625" customWidth="1"/>
    <col min="6" max="6" width="26.00390625" customWidth="1"/>
    <col min="7" max="7" width="40.00390625" customWidth="1"/>
    <col min="8" max="8" width="10.00390625" customWidth="1"/>
    <col min="9" max="9" width="40.00390625" customWidth="1"/>
  </cols>
  <sheetData>
    <row r="1" ht="30" customHeight="1">
      <c r="A1" s="6" t="s">
        <v>17</v>
      </c>
      <c r="B1" s="6" t="s">
        <v>144</v>
      </c>
      <c r="C1" s="6" t="s">
        <v>145</v>
      </c>
      <c r="D1" s="6" t="s">
        <v>146</v>
      </c>
      <c r="E1" s="6" t="s">
        <v>25</v>
      </c>
      <c r="F1" s="6" t="s">
        <v>111</v>
      </c>
      <c r="G1" s="6" t="s">
        <v>26</v>
      </c>
      <c r="H1" s="6" t="s">
        <v>27</v>
      </c>
      <c r="I1" s="6" t="s">
        <v>28</v>
      </c>
    </row>
    <row r="2">
      <c r="A2" s="7" t="s">
        <v>147</v>
      </c>
      <c r="B2" s="7">
        <v>1.2</v>
      </c>
      <c r="C2" s="7"/>
      <c r="D2" s="7"/>
      <c r="E2" s="7">
        <v>1200</v>
      </c>
      <c r="F2" s="7" t="s">
        <v>148</v>
      </c>
      <c r="G2" s="10" t="s">
        <v>149</v>
      </c>
      <c r="H2" s="7"/>
      <c r="I2" s="7"/>
    </row>
    <row r="3">
      <c r="A3" s="7" t="s">
        <v>150</v>
      </c>
      <c r="B3" s="7">
        <v>1.2</v>
      </c>
      <c r="C3" s="7"/>
      <c r="D3" s="7"/>
      <c r="E3" s="7">
        <v>1000</v>
      </c>
      <c r="F3" s="7"/>
      <c r="G3" s="7"/>
      <c r="H3" s="7"/>
      <c r="I3" s="7"/>
    </row>
    <row r="4">
      <c r="A4" s="7" t="s">
        <v>151</v>
      </c>
      <c r="B4" s="7">
        <v>0.98</v>
      </c>
      <c r="C4" s="7"/>
      <c r="D4" s="7"/>
      <c r="E4" s="7">
        <v>545</v>
      </c>
      <c r="F4" s="7"/>
      <c r="G4" s="7"/>
      <c r="H4" s="7"/>
      <c r="I4" s="7"/>
    </row>
    <row r="5">
      <c r="A5" s="7" t="s">
        <v>152</v>
      </c>
      <c r="B5" s="7">
        <v>1.2</v>
      </c>
      <c r="C5" s="7"/>
      <c r="D5" s="7">
        <v>0.7</v>
      </c>
      <c r="E5" s="7">
        <v>480</v>
      </c>
      <c r="F5" s="7" t="s">
        <v>153</v>
      </c>
      <c r="G5" s="7"/>
      <c r="H5" s="7"/>
      <c r="I5" s="7"/>
    </row>
    <row r="6">
      <c r="A6" s="7" t="s">
        <v>154</v>
      </c>
      <c r="B6" s="7">
        <v>0.73</v>
      </c>
      <c r="C6" s="7"/>
      <c r="D6" s="7">
        <v>0.645</v>
      </c>
      <c r="E6" s="7">
        <v>205</v>
      </c>
      <c r="F6" s="7"/>
      <c r="G6" s="7"/>
      <c r="H6" s="7"/>
      <c r="I6" s="7"/>
    </row>
    <row r="7">
      <c r="A7" s="7" t="s">
        <v>155</v>
      </c>
      <c r="B7" s="7">
        <v>0.845</v>
      </c>
      <c r="C7" s="7">
        <v>0.1696</v>
      </c>
      <c r="D7" s="7">
        <v>0.826</v>
      </c>
      <c r="E7" s="7">
        <v>790</v>
      </c>
      <c r="F7" s="7"/>
      <c r="G7" s="7"/>
      <c r="H7" s="7"/>
      <c r="I7" s="7"/>
    </row>
    <row r="8">
      <c r="A8" s="7" t="s">
        <v>156</v>
      </c>
      <c r="B8" s="7">
        <v>0.845</v>
      </c>
      <c r="C8" s="7">
        <v>0.1696</v>
      </c>
      <c r="D8" s="7">
        <v>0.71</v>
      </c>
      <c r="E8" s="7">
        <v>360</v>
      </c>
      <c r="F8" s="7"/>
      <c r="G8" s="7"/>
      <c r="H8" s="7"/>
      <c r="I8" s="7"/>
    </row>
    <row r="9">
      <c r="A9" s="7" t="s">
        <v>157</v>
      </c>
      <c r="B9" s="7">
        <v>1</v>
      </c>
      <c r="C9" s="7"/>
      <c r="D9" s="7">
        <v>0.66</v>
      </c>
      <c r="E9" s="7"/>
      <c r="F9" s="7"/>
      <c r="G9" s="7"/>
      <c r="H9" s="7"/>
      <c r="I9" s="7"/>
    </row>
    <row r="10">
      <c r="A10" s="7" t="s">
        <v>158</v>
      </c>
      <c r="B10" s="7">
        <v>1.34</v>
      </c>
      <c r="C10" s="7"/>
      <c r="D10" s="7">
        <v>0.99</v>
      </c>
      <c r="E10" s="7"/>
      <c r="F10" s="7" t="s">
        <v>159</v>
      </c>
      <c r="G10" s="7"/>
      <c r="H10" s="7"/>
      <c r="I10" s="7"/>
    </row>
    <row r="11">
      <c r="A11" s="7" t="s">
        <v>160</v>
      </c>
      <c r="B11" s="7"/>
      <c r="C11" s="7"/>
      <c r="D11" s="7"/>
      <c r="E11" s="7">
        <v>1130</v>
      </c>
      <c r="F11" s="7"/>
      <c r="G11" s="7"/>
      <c r="H11" s="7"/>
      <c r="I11" s="7"/>
    </row>
  </sheetData>
  <autoFilter ref="A1:I11"/>
  <hyperlinks>
    <hyperlink ref="G2" r:id="rId1"/>
  </hyperlinks>
  <pageMargins left="0.75" right="0.75" top="1" bottom="1" header="0.5" footer="0.5"/>
  <pageSetup orientation="portrait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xSplit="1" ySplit="1" topLeftCell="B2" activePane="bottomRight" state="frozen"/>
      <selection pane="bottomRight" activeCell="A1" sqref="A1"/>
    </sheetView>
  </sheetViews>
  <sheetFormatPr defaultRowHeight="15"/>
  <cols>
    <col min="1" max="1" width="26.00390625" customWidth="1"/>
    <col min="2" max="2" width="22.00390625" customWidth="1"/>
    <col min="3" max="3" width="13.00390625" customWidth="1"/>
    <col min="4" max="4" width="16.00390625" customWidth="1"/>
    <col min="5" max="5" width="8.00390625" customWidth="1"/>
    <col min="6" max="6" width="16.00390625" customWidth="1"/>
    <col min="7" max="7" width="10.00390625" customWidth="1"/>
    <col min="8" max="8" width="30.00390625" customWidth="1"/>
  </cols>
  <sheetData>
    <row r="1" ht="30" customHeight="1">
      <c r="A1" s="6" t="s">
        <v>17</v>
      </c>
      <c r="B1" s="6" t="s">
        <v>161</v>
      </c>
      <c r="C1" s="6" t="s">
        <v>162</v>
      </c>
      <c r="D1" s="6" t="s">
        <v>163</v>
      </c>
      <c r="E1" s="6" t="s">
        <v>164</v>
      </c>
      <c r="F1" s="6" t="s">
        <v>165</v>
      </c>
      <c r="G1" s="6" t="s">
        <v>166</v>
      </c>
      <c r="H1" s="6" t="s">
        <v>111</v>
      </c>
    </row>
    <row r="2">
      <c r="A2" s="7" t="s">
        <v>167</v>
      </c>
      <c r="B2" s="7" t="s">
        <v>168</v>
      </c>
      <c r="C2" s="7">
        <v>38.12</v>
      </c>
      <c r="D2" s="7">
        <v>100</v>
      </c>
      <c r="E2" s="7">
        <v>2</v>
      </c>
      <c r="F2" s="7">
        <v>5</v>
      </c>
      <c r="G2" s="7">
        <v>5</v>
      </c>
      <c r="H2" s="7"/>
    </row>
  </sheetData>
  <autoFilter ref="A1:H2"/>
  <dataValidations count="1">
    <dataValidation type="list" allowBlank="1" sqref="B2:B1000">
      <formula1>Lists!$E$1:$E$11</formula1>
    </dataValidation>
  </dataValidations>
  <pageMargins left="0.75" right="0.75" top="1" bottom="1" header="0.5" footer="0.5"/>
  <pageSetup orientation="portrait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A1" sqref="A1"/>
    </sheetView>
  </sheetViews>
  <sheetFormatPr defaultRowHeight="15"/>
  <sheetData>
    <row r="1">
      <c r="A1" t="s">
        <v>169</v>
      </c>
      <c r="B1" t="s">
        <v>170</v>
      </c>
      <c r="C1" t="s">
        <v>114</v>
      </c>
      <c r="D1" t="s">
        <v>101</v>
      </c>
      <c r="E1" t="s">
        <v>168</v>
      </c>
    </row>
    <row r="2">
      <c r="A2" t="s">
        <v>159</v>
      </c>
      <c r="B2" t="s">
        <v>171</v>
      </c>
      <c r="C2" t="s">
        <v>172</v>
      </c>
      <c r="D2" t="s">
        <v>173</v>
      </c>
      <c r="E2" t="s">
        <v>174</v>
      </c>
    </row>
    <row r="3">
      <c r="A3" t="s">
        <v>113</v>
      </c>
      <c r="B3" t="s">
        <v>120</v>
      </c>
      <c r="C3" t="s">
        <v>175</v>
      </c>
      <c r="D3" t="s">
        <v>104</v>
      </c>
      <c r="E3" t="s">
        <v>176</v>
      </c>
    </row>
    <row r="4">
      <c r="A4" t="s">
        <v>116</v>
      </c>
      <c r="B4" t="s">
        <v>177</v>
      </c>
      <c r="C4" t="s">
        <v>135</v>
      </c>
      <c r="D4" t="s">
        <v>178</v>
      </c>
      <c r="E4" t="s">
        <v>179</v>
      </c>
    </row>
    <row r="5">
      <c r="A5" t="s">
        <v>119</v>
      </c>
      <c r="B5" t="s">
        <v>127</v>
      </c>
      <c r="C5" t="s">
        <v>180</v>
      </c>
      <c r="E5" t="s">
        <v>181</v>
      </c>
    </row>
    <row r="6">
      <c r="A6" t="s">
        <v>126</v>
      </c>
      <c r="B6" t="s">
        <v>182</v>
      </c>
      <c r="C6" t="s">
        <v>133</v>
      </c>
      <c r="E6" t="s">
        <v>183</v>
      </c>
    </row>
    <row r="7">
      <c r="A7" t="s">
        <v>132</v>
      </c>
      <c r="B7" t="s">
        <v>184</v>
      </c>
      <c r="C7" t="s">
        <v>137</v>
      </c>
      <c r="E7" t="s">
        <v>185</v>
      </c>
    </row>
    <row r="8">
      <c r="A8" t="s">
        <v>142</v>
      </c>
      <c r="B8" t="s">
        <v>114</v>
      </c>
      <c r="E8" t="s">
        <v>186</v>
      </c>
    </row>
    <row r="9">
      <c r="A9" t="s">
        <v>187</v>
      </c>
      <c r="E9" t="s">
        <v>188</v>
      </c>
    </row>
    <row r="10">
      <c r="A10" t="s">
        <v>189</v>
      </c>
      <c r="E10" t="s">
        <v>190</v>
      </c>
    </row>
    <row r="11">
      <c r="A11" t="s">
        <v>191</v>
      </c>
      <c r="E11" t="s">
        <v>192</v>
      </c>
    </row>
    <row r="12">
      <c r="A12" t="s">
        <v>193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