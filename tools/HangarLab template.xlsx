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Motors" sheetId="3" state="visible" r:id="rId3"/>
    <sheet xmlns:r="http://schemas.openxmlformats.org/officeDocument/2006/relationships" name="Motor thrust data" sheetId="4" state="visible" r:id="rId4"/>
    <sheet xmlns:r="http://schemas.openxmlformats.org/officeDocument/2006/relationships" name="Props" sheetId="5" state="visible" r:id="rId5"/>
    <sheet xmlns:r="http://schemas.openxmlformats.org/officeDocument/2006/relationships" name="ESCs" sheetId="6" state="visible" r:id="rId6"/>
    <sheet xmlns:r="http://schemas.openxmlformats.org/officeDocument/2006/relationships" name="Batteries" sheetId="7" state="visible" r:id="rId7"/>
    <sheet xmlns:r="http://schemas.openxmlformats.org/officeDocument/2006/relationships" name="Airframes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9530A"/>
      <sz val="16"/>
    </font>
    <font>
      <b val="1"/>
      <sz val="12"/>
    </font>
    <font>
      <b val="1"/>
      <color rgb="00FFFFFF"/>
    </font>
    <font>
      <i val="1"/>
      <color rgb="006F6D65"/>
    </font>
  </fonts>
  <fills count="3">
    <fill>
      <patternFill/>
    </fill>
    <fill>
      <patternFill patternType="gray125"/>
    </fill>
    <fill>
      <patternFill patternType="solid">
        <fgColor rgb="002B2B28"/>
      </patternFill>
    </fill>
  </fills>
  <borders count="2">
    <border>
      <left/>
      <right/>
      <top/>
      <bottom/>
      <diagonal/>
    </border>
    <border>
      <bottom style="thin">
        <color rgb="00DCDA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pivotButton="0" quotePrefix="0" xfId="0"/>
  </cellXfs>
  <cellStyles count="1">
    <cellStyle name="Normal" xfId="0" builtinId="0" hidden="0"/>
  </cellStyles>
  <dxfs count="12">
    <dxf>
      <font>
        <b val="1"/>
        <color rgb="00154984"/>
      </font>
      <fill>
        <patternFill patternType="solid">
          <fgColor rgb="00C5DAF1"/>
          <bgColor rgb="00C5DAF1"/>
        </patternFill>
      </fill>
    </dxf>
    <dxf>
      <font>
        <b val="1"/>
        <color rgb="00588415"/>
      </font>
      <fill>
        <patternFill patternType="solid">
          <fgColor rgb="00E0F1C5"/>
          <bgColor rgb="00E0F1C5"/>
        </patternFill>
      </fill>
    </dxf>
    <dxf>
      <font>
        <b val="1"/>
        <color rgb="00844115"/>
      </font>
      <fill>
        <patternFill patternType="solid">
          <fgColor rgb="00F1D7C5"/>
          <bgColor rgb="00F1D7C5"/>
        </patternFill>
      </fill>
    </dxf>
    <dxf>
      <font>
        <b val="1"/>
        <color rgb="00841524"/>
      </font>
      <fill>
        <patternFill patternType="solid">
          <fgColor rgb="00F1C5CB"/>
          <bgColor rgb="00F1C5CB"/>
        </patternFill>
      </fill>
    </dxf>
    <dxf>
      <font>
        <b val="1"/>
        <color rgb="00491584"/>
      </font>
      <fill>
        <patternFill patternType="solid">
          <fgColor rgb="00DAC5F1"/>
          <bgColor rgb="00DAC5F1"/>
        </patternFill>
      </fill>
    </dxf>
    <dxf>
      <font>
        <b val="1"/>
        <color rgb="00158475"/>
      </font>
      <fill>
        <patternFill patternType="solid">
          <fgColor rgb="00C5F1EC"/>
          <bgColor rgb="00C5F1EC"/>
        </patternFill>
      </fill>
    </dxf>
    <dxf>
      <font>
        <b val="1"/>
        <color rgb="00156684"/>
      </font>
      <fill>
        <patternFill patternType="solid">
          <fgColor rgb="00C5E6F1"/>
          <bgColor rgb="00C5E6F1"/>
        </patternFill>
      </fill>
    </dxf>
    <dxf>
      <font>
        <b val="1"/>
        <color rgb="00841566"/>
      </font>
      <fill>
        <patternFill patternType="solid">
          <fgColor rgb="00F1C5E6"/>
          <bgColor rgb="00F1C5E6"/>
        </patternFill>
      </fill>
    </dxf>
    <dxf>
      <font>
        <b val="1"/>
        <color rgb="0015843A"/>
      </font>
      <fill>
        <patternFill patternType="solid">
          <fgColor rgb="00C5F1D4"/>
          <bgColor rgb="00C5F1D4"/>
        </patternFill>
      </fill>
    </dxf>
    <dxf>
      <font>
        <b val="1"/>
        <color rgb="00847115"/>
      </font>
      <fill>
        <patternFill patternType="solid">
          <fgColor rgb="00F1EAC5"/>
          <bgColor rgb="00F1EAC5"/>
        </patternFill>
      </fill>
    </dxf>
    <dxf>
      <font>
        <b val="1"/>
        <color rgb="006B4F2E"/>
      </font>
      <fill>
        <patternFill patternType="solid">
          <fgColor rgb="00E6DCD1"/>
          <bgColor rgb="00E6DCD1"/>
        </patternFill>
      </fill>
    </dxf>
    <dxf>
      <font>
        <b val="1"/>
        <color rgb="003C475D"/>
      </font>
      <fill>
        <patternFill patternType="solid">
          <fgColor rgb="00D7DAE0"/>
          <bgColor rgb="00D7DA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HangarLab component template</t>
        </is>
      </c>
    </row>
    <row r="2">
      <c r="A2" s="2" t="inlineStr">
        <is>
          <t>Fill in the sheets, save, then in the app open Library → Import workbook. Rows are matched by Name: new names are added, existing ones updated.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Components — avionics, sensors, radios, payloads, wiring, hardware… Pick a Subsystem from the dropdown; the cell takes the app’s color.</t>
        </is>
      </c>
    </row>
    <row r="6">
      <c r="A6" s="2" t="inlineStr">
        <is>
          <t>Motors — kV, winding resistance Rm (mΩ) and no-load current I0 turn on the motor model. Max current/power from the datasheet.</t>
        </is>
      </c>
    </row>
    <row r="7">
      <c r="A7" s="2" t="inlineStr">
        <is>
          <t>Props — diameter and pitch in inches. Performance data (APC .dat) is imported separately in the app.</t>
        </is>
      </c>
    </row>
    <row r="8">
      <c r="A8" s="2" t="inlineStr">
        <is>
          <t>Batteries — one row per pack: cells in series (S), in parallel (P), capacity per cell, continuous C and peak (burst) C. Pack count is set per design in the app.</t>
        </is>
      </c>
    </row>
    <row r="9">
      <c r="A9" s="2" t="inlineStr">
        <is>
          <t>ESCs — continuous and burst current, the cell range it accepts, and weight. Designs pick an ESC for the lift and cruise motors.</t>
        </is>
      </c>
    </row>
    <row r="10">
      <c r="A10" s="2" t="inlineStr">
        <is>
          <t>Airframes — type, then wingspan, wing area and length in meters for wings, or wheelbase (mm), layout and max prop size for multirotor frames; weight in grams.</t>
        </is>
      </c>
    </row>
    <row r="11">
      <c r="A11" s="2" t="inlineStr">
        <is>
          <t>Motor thrust data — thrust-stand tests, one row per measurement: Motor, Prop, Throttle, Thrust, Voltage, Current. Rows with the same Motor + Prop form one test; pick names from the Motors and Props sheets. (Older one-sheet-per-test "Thrust - …" sheets still import.)</t>
        </is>
      </c>
    </row>
    <row r="12">
      <c r="A12" s="2" t="inlineStr"/>
    </row>
    <row r="13">
      <c r="A13" s="3" t="inlineStr">
        <is>
          <t>Rules</t>
        </is>
      </c>
    </row>
    <row r="14">
      <c r="A14" s="2" t="inlineStr">
        <is>
          <t>Units are metric: grams, meters, m², volts, amps, watts, mAh. (The app can still display imperial.)</t>
        </is>
      </c>
    </row>
    <row r="15">
      <c r="A15" s="2" t="inlineStr">
        <is>
          <t>Keep the header row. Columns can be reordered; extra columns are ignored.</t>
        </is>
      </c>
    </row>
    <row r="16">
      <c r="A16" s="2" t="inlineStr">
        <is>
          <t>Gray italic rows are examples: overwrite or delete them.</t>
        </is>
      </c>
    </row>
    <row r="17">
      <c r="A17" s="2" t="inlineStr">
        <is>
          <t>Power: Avg W is typical draw, Peak W the worst case. Rail = the supply that powers the part (VBAT = straight from the flight pack).</t>
        </is>
      </c>
    </row>
    <row r="18">
      <c r="A18" s="2" t="inlineStr">
        <is>
          <t>Link = datasheet or product page. Buy link = where to order it. Unit cost is per item in your currency; the BOM report totals it.</t>
        </is>
      </c>
    </row>
    <row r="19">
      <c r="A19" s="2" t="inlineStr">
        <is>
          <t>Qty in Components is only a reference for your own BOM; the library stores one of each. Add parts to a design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7" customWidth="1" min="4" max="4"/>
    <col width="12" customWidth="1" min="5" max="5"/>
    <col width="14" customWidth="1" min="6" max="6"/>
    <col width="15" customWidth="1" min="7" max="7"/>
    <col width="18" customWidth="1" min="8" max="8"/>
    <col width="42" customWidth="1" min="9" max="9"/>
    <col width="30" customWidth="1" min="10" max="10"/>
    <col width="11" customWidth="1" min="11" max="11"/>
    <col width="42" customWidth="1" min="12" max="12"/>
  </cols>
  <sheetData>
    <row r="1" ht="22" customHeight="1">
      <c r="A1" s="4" t="inlineStr">
        <is>
          <t>Name</t>
        </is>
      </c>
      <c r="B1" s="4" t="inlineStr">
        <is>
          <t>Subsystem</t>
        </is>
      </c>
      <c r="C1" s="4" t="inlineStr">
        <is>
          <t>Weight (g)</t>
        </is>
      </c>
      <c r="D1" s="4" t="inlineStr">
        <is>
          <t>Qty</t>
        </is>
      </c>
      <c r="E1" s="4" t="inlineStr">
        <is>
          <t>Rail</t>
        </is>
      </c>
      <c r="F1" s="4" t="inlineStr">
        <is>
          <t>Avg power (W)</t>
        </is>
      </c>
      <c r="G1" s="4" t="inlineStr">
        <is>
          <t>Peak power (W)</t>
        </is>
      </c>
      <c r="H1" s="4" t="inlineStr">
        <is>
          <t>RF Freq</t>
        </is>
      </c>
      <c r="I1" s="4" t="inlineStr">
        <is>
          <t>Link</t>
        </is>
      </c>
      <c r="J1" s="4" t="inlineStr">
        <is>
          <t>Notes</t>
        </is>
      </c>
      <c r="K1" s="4" t="inlineStr">
        <is>
          <t>Unit cost</t>
        </is>
      </c>
      <c r="L1" s="4" t="inlineStr">
        <is>
          <t>Buy link</t>
        </is>
      </c>
    </row>
    <row r="2">
      <c r="A2" s="5" t="inlineStr">
        <is>
          <t>Cube Orange+ Mini</t>
        </is>
      </c>
      <c r="B2" s="5" t="inlineStr">
        <is>
          <t>Avionics</t>
        </is>
      </c>
      <c r="C2" s="5" t="n">
        <v>53</v>
      </c>
      <c r="D2" s="5" t="n">
        <v>1</v>
      </c>
      <c r="E2" s="5" t="inlineStr">
        <is>
          <t>5V</t>
        </is>
      </c>
      <c r="F2" s="5" t="n">
        <v>2.5</v>
      </c>
      <c r="G2" s="5" t="n">
        <v>3</v>
      </c>
      <c r="H2" s="5" t="inlineStr">
        <is>
          <t>None</t>
        </is>
      </c>
      <c r="I2" s="5" t="inlineStr">
        <is>
          <t>https://docs.cubepilot.org/</t>
        </is>
      </c>
      <c r="J2" s="5" t="inlineStr"/>
      <c r="K2" s="5" t="n">
        <v>395</v>
      </c>
      <c r="L2" s="5" t="inlineStr">
        <is>
          <t>https://irlock.com/products/the-cube-orange-mini-set</t>
        </is>
      </c>
    </row>
    <row r="3">
      <c r="A3" s="5" t="inlineStr">
        <is>
          <t>Here4 GPS</t>
        </is>
      </c>
      <c r="B3" s="5" t="inlineStr">
        <is>
          <t>Sensors</t>
        </is>
      </c>
      <c r="C3" s="5" t="n">
        <v>60</v>
      </c>
      <c r="D3" s="5" t="n">
        <v>1</v>
      </c>
      <c r="E3" s="5" t="inlineStr">
        <is>
          <t>5V</t>
        </is>
      </c>
      <c r="F3" s="5" t="n">
        <v>1</v>
      </c>
      <c r="G3" s="5" t="n">
        <v>1.5</v>
      </c>
      <c r="H3" s="5" t="inlineStr">
        <is>
          <t>None</t>
        </is>
      </c>
      <c r="I3" s="5" t="inlineStr"/>
      <c r="J3" s="5" t="inlineStr"/>
      <c r="K3" s="5" t="n"/>
      <c r="L3" s="5" t="n"/>
    </row>
    <row r="4">
      <c r="A4" s="5" t="inlineStr">
        <is>
          <t>RFD900x telemetry</t>
        </is>
      </c>
      <c r="B4" s="5" t="inlineStr">
        <is>
          <t>Comms</t>
        </is>
      </c>
      <c r="C4" s="5" t="n">
        <v>18</v>
      </c>
      <c r="D4" s="5" t="n">
        <v>1</v>
      </c>
      <c r="E4" s="5" t="inlineStr">
        <is>
          <t>5V</t>
        </is>
      </c>
      <c r="F4" s="5" t="n">
        <v>5</v>
      </c>
      <c r="G4" s="5" t="n">
        <v>5</v>
      </c>
      <c r="H4" s="5" t="inlineStr">
        <is>
          <t>915 MHz</t>
        </is>
      </c>
      <c r="I4" s="5" t="inlineStr"/>
      <c r="J4" s="5" t="inlineStr"/>
      <c r="K4" s="5" t="n"/>
      <c r="L4" s="5" t="n"/>
    </row>
    <row r="5">
      <c r="A5" s="5" t="inlineStr">
        <is>
          <t>ELRS RP4TD receiver</t>
        </is>
      </c>
      <c r="B5" s="5" t="inlineStr">
        <is>
          <t>Comms</t>
        </is>
      </c>
      <c r="C5" s="5" t="n">
        <v>3.4</v>
      </c>
      <c r="D5" s="5" t="n">
        <v>1</v>
      </c>
      <c r="E5" s="5" t="inlineStr">
        <is>
          <t>5V</t>
        </is>
      </c>
      <c r="F5" s="5" t="n">
        <v>0.5</v>
      </c>
      <c r="G5" s="5" t="n">
        <v>0.6</v>
      </c>
      <c r="H5" s="5" t="inlineStr">
        <is>
          <t>2.4 GHz</t>
        </is>
      </c>
      <c r="I5" s="5" t="inlineStr"/>
      <c r="J5" s="5" t="inlineStr"/>
      <c r="K5" s="5" t="n"/>
      <c r="L5" s="5" t="n"/>
    </row>
    <row r="6">
      <c r="A6" s="5" t="inlineStr">
        <is>
          <t>Jetson Orin Nano + Seeed A603</t>
        </is>
      </c>
      <c r="B6" s="5" t="inlineStr">
        <is>
          <t>Compute</t>
        </is>
      </c>
      <c r="C6" s="5" t="n">
        <v>128</v>
      </c>
      <c r="D6" s="5" t="n">
        <v>1</v>
      </c>
      <c r="E6" s="5" t="inlineStr">
        <is>
          <t>12V</t>
        </is>
      </c>
      <c r="F6" s="5" t="n">
        <v>15</v>
      </c>
      <c r="G6" s="5" t="n">
        <v>25</v>
      </c>
      <c r="H6" s="5" t="inlineStr">
        <is>
          <t>None</t>
        </is>
      </c>
      <c r="I6" s="5" t="inlineStr"/>
      <c r="J6" s="5" t="inlineStr"/>
      <c r="K6" s="5" t="n"/>
      <c r="L6" s="5" t="n"/>
    </row>
    <row r="7">
      <c r="A7" s="5" t="inlineStr">
        <is>
          <t>SIYI A8 mini gimbal camera</t>
        </is>
      </c>
      <c r="B7" s="5" t="inlineStr">
        <is>
          <t>Payload</t>
        </is>
      </c>
      <c r="C7" s="5" t="n">
        <v>95</v>
      </c>
      <c r="D7" s="5" t="n">
        <v>1</v>
      </c>
      <c r="E7" s="5" t="inlineStr">
        <is>
          <t>12V</t>
        </is>
      </c>
      <c r="F7" s="5" t="n">
        <v>5</v>
      </c>
      <c r="G7" s="5" t="n">
        <v>8</v>
      </c>
      <c r="H7" s="5" t="inlineStr">
        <is>
          <t>None</t>
        </is>
      </c>
      <c r="I7" s="5" t="inlineStr"/>
      <c r="J7" s="5" t="inlineStr"/>
      <c r="K7" s="5" t="n"/>
      <c r="L7" s="5" t="n"/>
    </row>
    <row r="8">
      <c r="A8" s="5" t="inlineStr">
        <is>
          <t>TBS Lucid 12S 90A ESC</t>
        </is>
      </c>
      <c r="B8" s="5" t="inlineStr">
        <is>
          <t>Propulsion</t>
        </is>
      </c>
      <c r="C8" s="5" t="n">
        <v>20</v>
      </c>
      <c r="D8" s="5" t="n">
        <v>4</v>
      </c>
      <c r="E8" s="5" t="inlineStr">
        <is>
          <t>None</t>
        </is>
      </c>
      <c r="F8" s="5" t="n">
        <v>0</v>
      </c>
      <c r="G8" s="5" t="n">
        <v>0</v>
      </c>
      <c r="H8" s="5" t="inlineStr">
        <is>
          <t>None</t>
        </is>
      </c>
      <c r="I8" s="5" t="inlineStr"/>
      <c r="J8" s="5" t="inlineStr"/>
      <c r="K8" s="5" t="n"/>
      <c r="L8" s="5" t="n"/>
    </row>
    <row r="9">
      <c r="A9" s="5" t="inlineStr">
        <is>
          <t>PDB &amp; power modules</t>
        </is>
      </c>
      <c r="B9" s="5" t="inlineStr">
        <is>
          <t>Power</t>
        </is>
      </c>
      <c r="C9" s="5" t="n">
        <v>70</v>
      </c>
      <c r="D9" s="5" t="n">
        <v>1</v>
      </c>
      <c r="E9" s="5" t="inlineStr">
        <is>
          <t>None</t>
        </is>
      </c>
      <c r="F9" s="5" t="n">
        <v>0</v>
      </c>
      <c r="G9" s="5" t="n">
        <v>0</v>
      </c>
      <c r="H9" s="5" t="inlineStr">
        <is>
          <t>None</t>
        </is>
      </c>
      <c r="I9" s="5" t="inlineStr"/>
      <c r="J9" s="5" t="inlineStr"/>
      <c r="K9" s="5" t="n"/>
      <c r="L9" s="5" t="n"/>
    </row>
    <row r="10">
      <c r="A10" s="5" t="inlineStr">
        <is>
          <t>Silicone wire, connectors</t>
        </is>
      </c>
      <c r="B10" s="5" t="inlineStr">
        <is>
          <t>Wiring</t>
        </is>
      </c>
      <c r="C10" s="5" t="n">
        <v>250</v>
      </c>
      <c r="D10" s="5" t="n">
        <v>1</v>
      </c>
      <c r="E10" s="5" t="inlineStr">
        <is>
          <t>None</t>
        </is>
      </c>
      <c r="F10" s="5" t="n">
        <v>0</v>
      </c>
      <c r="G10" s="5" t="n">
        <v>0</v>
      </c>
      <c r="H10" s="5" t="inlineStr">
        <is>
          <t>None</t>
        </is>
      </c>
      <c r="I10" s="5" t="inlineStr"/>
      <c r="J10" s="5" t="inlineStr">
        <is>
          <t>estimate</t>
        </is>
      </c>
      <c r="K10" s="5" t="n"/>
      <c r="L10" s="5" t="n"/>
    </row>
    <row r="11">
      <c r="A11" s="5" t="inlineStr">
        <is>
          <t>M3 hardware kit</t>
        </is>
      </c>
      <c r="B11" s="5" t="inlineStr">
        <is>
          <t>Hardware</t>
        </is>
      </c>
      <c r="C11" s="5" t="n">
        <v>25</v>
      </c>
      <c r="D11" s="5" t="n">
        <v>1</v>
      </c>
      <c r="E11" s="5" t="inlineStr">
        <is>
          <t>None</t>
        </is>
      </c>
      <c r="F11" s="5" t="n">
        <v>0</v>
      </c>
      <c r="G11" s="5" t="n">
        <v>0</v>
      </c>
      <c r="H11" s="5" t="inlineStr">
        <is>
          <t>None</t>
        </is>
      </c>
      <c r="I11" s="5" t="inlineStr"/>
      <c r="J11" s="5" t="inlineStr"/>
      <c r="K11" s="5" t="n"/>
      <c r="L11" s="5" t="n"/>
    </row>
    <row r="12">
      <c r="A12" s="5" t="inlineStr">
        <is>
          <t>Carbon frame arms</t>
        </is>
      </c>
      <c r="B12" s="5" t="inlineStr">
        <is>
          <t>Structures</t>
        </is>
      </c>
      <c r="C12" s="5" t="n">
        <v>84</v>
      </c>
      <c r="D12" s="5" t="n">
        <v>4</v>
      </c>
      <c r="E12" s="5" t="inlineStr">
        <is>
          <t>None</t>
        </is>
      </c>
      <c r="F12" s="5" t="n">
        <v>0</v>
      </c>
      <c r="G12" s="5" t="n">
        <v>0</v>
      </c>
      <c r="H12" s="5" t="inlineStr">
        <is>
          <t>None</t>
        </is>
      </c>
      <c r="I12" s="5" t="inlineStr"/>
      <c r="J12" s="5" t="inlineStr"/>
      <c r="K12" s="5" t="n"/>
      <c r="L12" s="5" t="n"/>
    </row>
    <row r="13">
      <c r="A13" s="5" t="inlineStr">
        <is>
          <t>GPS mast (PETG)</t>
        </is>
      </c>
      <c r="B13" s="5" t="inlineStr">
        <is>
          <t>3D printed</t>
        </is>
      </c>
      <c r="C13" s="5" t="n">
        <v>6.5</v>
      </c>
      <c r="D13" s="5" t="n">
        <v>1</v>
      </c>
      <c r="E13" s="5" t="inlineStr">
        <is>
          <t>None</t>
        </is>
      </c>
      <c r="F13" s="5" t="n">
        <v>0</v>
      </c>
      <c r="G13" s="5" t="n">
        <v>0</v>
      </c>
      <c r="H13" s="5" t="inlineStr">
        <is>
          <t>None</t>
        </is>
      </c>
      <c r="I13" s="5" t="inlineStr"/>
      <c r="J13" s="5" t="inlineStr"/>
      <c r="K13" s="5" t="n"/>
      <c r="L13" s="5" t="n"/>
    </row>
  </sheetData>
  <conditionalFormatting sqref="B2:B500">
    <cfRule type="expression" priority="1" dxfId="0">
      <formula>$B2="Structures"</formula>
    </cfRule>
    <cfRule type="expression" priority="2" dxfId="1">
      <formula>$B2="3D printed"</formula>
    </cfRule>
    <cfRule type="expression" priority="3" dxfId="2">
      <formula>$B2="Propulsion"</formula>
    </cfRule>
    <cfRule type="expression" priority="4" dxfId="3">
      <formula>$B2="Power"</formula>
    </cfRule>
    <cfRule type="expression" priority="5" dxfId="4">
      <formula>$B2="Avionics"</formula>
    </cfRule>
    <cfRule type="expression" priority="6" dxfId="5">
      <formula>$B2="Sensors"</formula>
    </cfRule>
    <cfRule type="expression" priority="7" dxfId="6">
      <formula>$B2="Comms"</formula>
    </cfRule>
    <cfRule type="expression" priority="8" dxfId="7">
      <formula>$B2="Compute"</formula>
    </cfRule>
    <cfRule type="expression" priority="9" dxfId="8">
      <formula>$B2="Payload"</formula>
    </cfRule>
    <cfRule type="expression" priority="10" dxfId="9">
      <formula>$B2="Wiring"</formula>
    </cfRule>
    <cfRule type="expression" priority="11" dxfId="10">
      <formula>$B2="Hardware"</formula>
    </cfRule>
    <cfRule type="expression" priority="12" dxfId="11">
      <formula>$B2="Other"</formula>
    </cfRule>
  </conditionalFormatting>
  <dataValidations count="3">
    <dataValidation sqref="B2:B500" showDropDown="0" showInputMessage="0" showErrorMessage="0" allowBlank="1" type="list">
      <formula1>=Lists!$A$1:$A$12</formula1>
    </dataValidation>
    <dataValidation sqref="E2:E500" showDropDown="0" showInputMessage="0" showErrorMessage="0" allowBlank="1" type="list">
      <formula1>=Lists!$B$1:$B$8</formula1>
    </dataValidation>
    <dataValidation sqref="H2:H500" showDropDown="0" showInputMessage="0" showErrorMessage="0" allowBlank="1" type="list">
      <formula1>=Lists!$C$1:$C$7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0" customWidth="1" min="3" max="3"/>
    <col width="9" customWidth="1" min="4" max="4"/>
    <col width="14" customWidth="1" min="5" max="5"/>
    <col width="16" customWidth="1" min="6" max="6"/>
    <col width="15" customWidth="1" min="7" max="7"/>
    <col width="12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kV</t>
        </is>
      </c>
      <c r="C1" s="4" t="inlineStr">
        <is>
          <t>Rm (mΩ)</t>
        </is>
      </c>
      <c r="D1" s="4" t="inlineStr">
        <is>
          <t>I0 (A)</t>
        </is>
      </c>
      <c r="E1" s="4" t="inlineStr">
        <is>
          <t>I0 voltage (V)</t>
        </is>
      </c>
      <c r="F1" s="4" t="inlineStr">
        <is>
          <t>Max current (A)</t>
        </is>
      </c>
      <c r="G1" s="4" t="inlineStr">
        <is>
          <t>Max power (W)</t>
        </is>
      </c>
      <c r="H1" s="4" t="inlineStr">
        <is>
          <t>Weight (g)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T-Motor MN5008 340KV</t>
        </is>
      </c>
      <c r="B2" s="5" t="n">
        <v>340</v>
      </c>
      <c r="C2" s="5" t="n">
        <v>89</v>
      </c>
      <c r="D2" s="5" t="n">
        <v>0.8</v>
      </c>
      <c r="E2" s="5" t="n">
        <v>10</v>
      </c>
      <c r="F2" s="5" t="n">
        <v>30</v>
      </c>
      <c r="G2" s="5" t="n">
        <v>700</v>
      </c>
      <c r="H2" s="5" t="n">
        <v>135</v>
      </c>
      <c r="I2" s="5" t="inlineStr">
        <is>
          <t>https://store.tmotor.com/</t>
        </is>
      </c>
      <c r="J2" s="5" t="n">
        <v>110</v>
      </c>
      <c r="K2" s="5" t="inlineStr">
        <is>
          <t>https://store.tmotor.com/</t>
        </is>
      </c>
    </row>
    <row r="3">
      <c r="A3" s="5" t="inlineStr">
        <is>
          <t>Hobbywing 4120 250KV</t>
        </is>
      </c>
      <c r="B3" s="5" t="n">
        <v>250</v>
      </c>
      <c r="C3" s="5" t="inlineStr"/>
      <c r="D3" s="5" t="inlineStr"/>
      <c r="E3" s="5" t="inlineStr"/>
      <c r="F3" s="5" t="n">
        <v>55.3</v>
      </c>
      <c r="G3" s="5" t="inlineStr"/>
      <c r="H3" s="5" t="n">
        <v>309</v>
      </c>
      <c r="I3" s="5" t="inlineStr"/>
      <c r="J3" s="5" t="inlineStr"/>
      <c r="K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4" t="inlineStr">
        <is>
          <t>Motor</t>
        </is>
      </c>
      <c r="B1" s="4" t="inlineStr">
        <is>
          <t>Prop</t>
        </is>
      </c>
      <c r="C1" s="4" t="inlineStr">
        <is>
          <t>Throttle (%)</t>
        </is>
      </c>
      <c r="D1" s="4" t="inlineStr">
        <is>
          <t>Thrust (g)</t>
        </is>
      </c>
      <c r="E1" s="4" t="inlineStr">
        <is>
          <t>Voltage (V)</t>
        </is>
      </c>
      <c r="F1" s="4" t="inlineStr">
        <is>
          <t>Current (A)</t>
        </is>
      </c>
      <c r="G1" s="4" t="inlineStr">
        <is>
          <t>Power (W)</t>
        </is>
      </c>
    </row>
    <row r="2">
      <c r="A2" s="5" t="inlineStr">
        <is>
          <t>Hobbywing 4120 250KV</t>
        </is>
      </c>
      <c r="B2" s="5" t="inlineStr">
        <is>
          <t>APC 16x8</t>
        </is>
      </c>
      <c r="C2" s="5" t="n">
        <v>33</v>
      </c>
      <c r="D2" s="5" t="n">
        <v>1029</v>
      </c>
      <c r="E2" s="5" t="n">
        <v>44.4</v>
      </c>
      <c r="F2" s="5" t="n">
        <v>2.3</v>
      </c>
      <c r="G2" s="5">
        <f>E2*F2</f>
        <v/>
      </c>
    </row>
    <row r="3">
      <c r="A3" s="5" t="inlineStr">
        <is>
          <t>Hobbywing 4120 250KV</t>
        </is>
      </c>
      <c r="B3" s="5" t="inlineStr">
        <is>
          <t>APC 16x8</t>
        </is>
      </c>
      <c r="C3" s="5" t="n">
        <v>42</v>
      </c>
      <c r="D3" s="5" t="n">
        <v>1642</v>
      </c>
      <c r="E3" s="5" t="n">
        <v>44.4</v>
      </c>
      <c r="F3" s="5" t="n">
        <v>4.2</v>
      </c>
      <c r="G3" s="5">
        <f>E3*F3</f>
        <v/>
      </c>
    </row>
    <row r="4">
      <c r="A4" s="5" t="inlineStr">
        <is>
          <t>Hobbywing 4120 250KV</t>
        </is>
      </c>
      <c r="B4" s="5" t="inlineStr">
        <is>
          <t>APC 16x8</t>
        </is>
      </c>
      <c r="C4" s="5" t="n">
        <v>51</v>
      </c>
      <c r="D4" s="5" t="n">
        <v>2272</v>
      </c>
      <c r="E4" s="5" t="n">
        <v>44.4</v>
      </c>
      <c r="F4" s="5" t="n">
        <v>7</v>
      </c>
      <c r="G4" s="5">
        <f>E4*F4</f>
        <v/>
      </c>
    </row>
    <row r="5">
      <c r="A5" s="5" t="inlineStr">
        <is>
          <t>Hobbywing 4120 250KV</t>
        </is>
      </c>
      <c r="B5" s="5" t="inlineStr">
        <is>
          <t>APC 16x8</t>
        </is>
      </c>
      <c r="C5" s="5" t="n">
        <v>60</v>
      </c>
      <c r="D5" s="5" t="n">
        <v>3108</v>
      </c>
      <c r="E5" s="5" t="n">
        <v>44.4</v>
      </c>
      <c r="F5" s="5" t="n">
        <v>11.3</v>
      </c>
      <c r="G5" s="5">
        <f>E5*F5</f>
        <v/>
      </c>
    </row>
    <row r="6">
      <c r="A6" s="5" t="inlineStr">
        <is>
          <t>Hobbywing 4120 250KV</t>
        </is>
      </c>
      <c r="B6" s="5" t="inlineStr">
        <is>
          <t>APC 16x8</t>
        </is>
      </c>
      <c r="C6" s="5" t="n">
        <v>72</v>
      </c>
      <c r="D6" s="5" t="n">
        <v>4488</v>
      </c>
      <c r="E6" s="5" t="n">
        <v>44.4</v>
      </c>
      <c r="F6" s="5" t="n">
        <v>19.5</v>
      </c>
      <c r="G6" s="5">
        <f>E6*F6</f>
        <v/>
      </c>
    </row>
    <row r="7">
      <c r="A7" s="5" t="inlineStr">
        <is>
          <t>Hobbywing 4120 250KV</t>
        </is>
      </c>
      <c r="B7" s="5" t="inlineStr">
        <is>
          <t>APC 16x8</t>
        </is>
      </c>
      <c r="C7" s="5" t="n">
        <v>81</v>
      </c>
      <c r="D7" s="5" t="n">
        <v>5560</v>
      </c>
      <c r="E7" s="5" t="n">
        <v>44.4</v>
      </c>
      <c r="F7" s="5" t="n">
        <v>28.4</v>
      </c>
      <c r="G7" s="5">
        <f>E7*F7</f>
        <v/>
      </c>
    </row>
    <row r="8">
      <c r="A8" s="5" t="inlineStr">
        <is>
          <t>Hobbywing 4120 250KV</t>
        </is>
      </c>
      <c r="B8" s="5" t="inlineStr">
        <is>
          <t>APC 16x8</t>
        </is>
      </c>
      <c r="C8" s="5" t="n">
        <v>90</v>
      </c>
      <c r="D8" s="5" t="n">
        <v>6575</v>
      </c>
      <c r="E8" s="5" t="n">
        <v>44.4</v>
      </c>
      <c r="F8" s="5" t="n">
        <v>39.9</v>
      </c>
      <c r="G8" s="5">
        <f>E8*F8</f>
        <v/>
      </c>
    </row>
    <row r="9">
      <c r="A9" s="5" t="inlineStr">
        <is>
          <t>Hobbywing 4120 250KV</t>
        </is>
      </c>
      <c r="B9" s="5" t="inlineStr">
        <is>
          <t>APC 16x8</t>
        </is>
      </c>
      <c r="C9" s="5" t="n">
        <v>100</v>
      </c>
      <c r="D9" s="5" t="n">
        <v>7694</v>
      </c>
      <c r="E9" s="5" t="n">
        <v>44.4</v>
      </c>
      <c r="F9" s="5" t="n">
        <v>55.3</v>
      </c>
      <c r="G9" s="5">
        <f>E9*F9</f>
        <v/>
      </c>
    </row>
    <row r="10">
      <c r="A10" s="5" t="inlineStr">
        <is>
          <t>T-Motor MN5008 340KV</t>
        </is>
      </c>
      <c r="B10" s="5" t="inlineStr">
        <is>
          <t>APC 15x5.5MR</t>
        </is>
      </c>
      <c r="C10" s="5" t="n">
        <v>50</v>
      </c>
      <c r="D10" s="5" t="n">
        <v>1150</v>
      </c>
      <c r="E10" s="5" t="n">
        <v>22.2</v>
      </c>
      <c r="F10" s="5" t="n">
        <v>4.1</v>
      </c>
      <c r="G10" s="5">
        <f>E10*F10</f>
        <v/>
      </c>
    </row>
    <row r="11">
      <c r="A11" s="5" t="inlineStr">
        <is>
          <t>T-Motor MN5008 340KV</t>
        </is>
      </c>
      <c r="B11" s="5" t="inlineStr">
        <is>
          <t>APC 15x5.5MR</t>
        </is>
      </c>
      <c r="C11" s="5" t="n">
        <v>75</v>
      </c>
      <c r="D11" s="5" t="n">
        <v>2210</v>
      </c>
      <c r="E11" s="5" t="n">
        <v>22.2</v>
      </c>
      <c r="F11" s="5" t="n">
        <v>10.6</v>
      </c>
      <c r="G11" s="5">
        <f>E11*F11</f>
        <v/>
      </c>
    </row>
    <row r="12">
      <c r="A12" s="5" t="inlineStr">
        <is>
          <t>T-Motor MN5008 340KV</t>
        </is>
      </c>
      <c r="B12" s="5" t="inlineStr">
        <is>
          <t>APC 15x5.5MR</t>
        </is>
      </c>
      <c r="C12" s="5" t="n">
        <v>100</v>
      </c>
      <c r="D12" s="5" t="n">
        <v>3150</v>
      </c>
      <c r="E12" s="5" t="n">
        <v>22.2</v>
      </c>
      <c r="F12" s="5" t="n">
        <v>20.3</v>
      </c>
      <c r="G12" s="5">
        <f>E12*F12</f>
        <v/>
      </c>
    </row>
  </sheetData>
  <dataValidations count="2">
    <dataValidation sqref="A2:A500" showDropDown="0" showInputMessage="0" showErrorMessage="0" allowBlank="1" type="list">
      <formula1>=Motors!$A$2:$A$500</formula1>
    </dataValidation>
    <dataValidation sqref="B2:B500" showDropDown="0" showInputMessage="0" showErrorMessage="0" allowBlank="1" type="list">
      <formula1>=Props!$A$2:$A$500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42" customWidth="1" min="5" max="5"/>
    <col width="11" customWidth="1" min="6" max="6"/>
    <col width="42" customWidth="1" min="7" max="7"/>
  </cols>
  <sheetData>
    <row r="1" ht="22" customHeight="1">
      <c r="A1" s="4" t="inlineStr">
        <is>
          <t>Name</t>
        </is>
      </c>
      <c r="B1" s="4" t="inlineStr">
        <is>
          <t>Diameter (in)</t>
        </is>
      </c>
      <c r="C1" s="4" t="inlineStr">
        <is>
          <t>Pitch (in)</t>
        </is>
      </c>
      <c r="D1" s="4" t="inlineStr">
        <is>
          <t>Weight (g)</t>
        </is>
      </c>
      <c r="E1" s="4" t="inlineStr">
        <is>
          <t>Link</t>
        </is>
      </c>
      <c r="F1" s="4" t="inlineStr">
        <is>
          <t>Unit cost</t>
        </is>
      </c>
      <c r="G1" s="4" t="inlineStr">
        <is>
          <t>Buy link</t>
        </is>
      </c>
    </row>
    <row r="2">
      <c r="A2" s="5" t="inlineStr">
        <is>
          <t>APC 16x8</t>
        </is>
      </c>
      <c r="B2" s="5" t="n">
        <v>16</v>
      </c>
      <c r="C2" s="5" t="n">
        <v>8</v>
      </c>
      <c r="D2" s="5" t="n">
        <v>51.87</v>
      </c>
      <c r="E2" s="5" t="inlineStr">
        <is>
          <t>https://www.apcprop.com/</t>
        </is>
      </c>
      <c r="F2" s="5" t="n">
        <v>12</v>
      </c>
      <c r="G2" s="5" t="inlineStr">
        <is>
          <t>https://www.apcprop.com/</t>
        </is>
      </c>
    </row>
    <row r="3">
      <c r="A3" s="5" t="inlineStr">
        <is>
          <t>HQ 8x4.5x3</t>
        </is>
      </c>
      <c r="B3" s="5" t="n">
        <v>8</v>
      </c>
      <c r="C3" s="5" t="n">
        <v>4.5</v>
      </c>
      <c r="D3" s="5" t="inlineStr"/>
      <c r="E3" s="5" t="inlineStr"/>
      <c r="F3" s="5" t="inlineStr"/>
      <c r="G3" s="5" t="inlineStr"/>
    </row>
    <row r="4">
      <c r="A4" s="5" t="inlineStr">
        <is>
          <t>APC 15x5.5MR</t>
        </is>
      </c>
      <c r="B4" s="5" t="n">
        <v>15</v>
      </c>
      <c r="C4" s="5" t="n">
        <v>5.5</v>
      </c>
      <c r="D4" s="5" t="n">
        <v>42</v>
      </c>
      <c r="E4" s="5" t="inlineStr"/>
      <c r="F4" s="5" t="inlineStr"/>
      <c r="G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0" customWidth="1" min="4" max="4"/>
    <col width="17" customWidth="1" min="5" max="5"/>
    <col width="13" customWidth="1" min="6" max="6"/>
    <col width="13" customWidth="1" min="7" max="7"/>
    <col width="11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Brand</t>
        </is>
      </c>
      <c r="C1" s="4" t="inlineStr">
        <is>
          <t>For (Multirotor / Plane / Either)</t>
        </is>
      </c>
      <c r="D1" s="4" t="inlineStr">
        <is>
          <t>Continuous current (A)</t>
        </is>
      </c>
      <c r="E1" s="4" t="inlineStr">
        <is>
          <t>Burst current (A)</t>
        </is>
      </c>
      <c r="F1" s="4" t="inlineStr">
        <is>
          <t>Min cells (S)</t>
        </is>
      </c>
      <c r="G1" s="4" t="inlineStr">
        <is>
          <t>Max cells (S)</t>
        </is>
      </c>
      <c r="H1" s="4" t="inlineStr">
        <is>
          <t>Weight (g)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Generic 6S 60A ESC</t>
        </is>
      </c>
      <c r="B2" s="5" t="inlineStr"/>
      <c r="C2" s="5" t="inlineStr">
        <is>
          <t>Either</t>
        </is>
      </c>
      <c r="D2" s="5" t="n">
        <v>60</v>
      </c>
      <c r="E2" s="5" t="n">
        <v>80</v>
      </c>
      <c r="F2" s="5" t="n">
        <v>3</v>
      </c>
      <c r="G2" s="5" t="n">
        <v>6</v>
      </c>
      <c r="H2" s="5" t="n">
        <v>60</v>
      </c>
      <c r="I2" s="5" t="inlineStr"/>
      <c r="J2" s="5" t="inlineStr"/>
      <c r="K2" s="5" t="inlineStr"/>
    </row>
    <row r="3">
      <c r="A3" s="5" t="inlineStr">
        <is>
          <t>Generic 12S 80A ESC</t>
        </is>
      </c>
      <c r="B3" s="5" t="inlineStr"/>
      <c r="C3" s="5" t="inlineStr">
        <is>
          <t>Multirotor</t>
        </is>
      </c>
      <c r="D3" s="5" t="n">
        <v>80</v>
      </c>
      <c r="E3" s="5" t="n">
        <v>100</v>
      </c>
      <c r="F3" s="5" t="n">
        <v>6</v>
      </c>
      <c r="G3" s="5" t="n">
        <v>12</v>
      </c>
      <c r="H3" s="5" t="n">
        <v>90</v>
      </c>
      <c r="I3" s="5" t="inlineStr"/>
      <c r="J3" s="5" t="inlineStr"/>
      <c r="K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9" customWidth="1" min="4" max="4"/>
    <col width="19" customWidth="1" min="5" max="5"/>
    <col width="16" customWidth="1" min="6" max="6"/>
    <col width="14" customWidth="1" min="7" max="7"/>
    <col width="10" customWidth="1" min="8" max="8"/>
    <col width="42" customWidth="1" min="9" max="9"/>
    <col width="11" customWidth="1" min="10" max="10"/>
    <col width="42" customWidth="1" min="11" max="11"/>
  </cols>
  <sheetData>
    <row r="1" ht="22" customHeight="1">
      <c r="A1" s="4" t="inlineStr">
        <is>
          <t>Name</t>
        </is>
      </c>
      <c r="B1" s="4" t="inlineStr">
        <is>
          <t>Chemistry</t>
        </is>
      </c>
      <c r="C1" s="4" t="inlineStr">
        <is>
          <t>Cells S</t>
        </is>
      </c>
      <c r="D1" s="4" t="inlineStr">
        <is>
          <t>Cells P</t>
        </is>
      </c>
      <c r="E1" s="4" t="inlineStr">
        <is>
          <t>Cell capacity (mAh)</t>
        </is>
      </c>
      <c r="F1" s="4" t="inlineStr">
        <is>
          <t>Pack weight (g)</t>
        </is>
      </c>
      <c r="G1" s="4" t="inlineStr">
        <is>
          <t>Continuous C</t>
        </is>
      </c>
      <c r="H1" s="4" t="inlineStr">
        <is>
          <t>Peak C</t>
        </is>
      </c>
      <c r="I1" s="4" t="inlineStr">
        <is>
          <t>Link</t>
        </is>
      </c>
      <c r="J1" s="4" t="inlineStr">
        <is>
          <t>Unit cost</t>
        </is>
      </c>
      <c r="K1" s="4" t="inlineStr">
        <is>
          <t>Buy link</t>
        </is>
      </c>
    </row>
    <row r="2">
      <c r="A2" s="5" t="inlineStr">
        <is>
          <t>Tattu 6S 7000 25C</t>
        </is>
      </c>
      <c r="B2" s="5" t="inlineStr">
        <is>
          <t>LiPo</t>
        </is>
      </c>
      <c r="C2" s="5" t="n">
        <v>6</v>
      </c>
      <c r="D2" s="5" t="n">
        <v>1</v>
      </c>
      <c r="E2" s="5" t="n">
        <v>7000</v>
      </c>
      <c r="F2" s="5" t="n">
        <v>870</v>
      </c>
      <c r="G2" s="5" t="n">
        <v>25</v>
      </c>
      <c r="H2" s="5" t="n">
        <v>50</v>
      </c>
      <c r="I2" s="5" t="inlineStr"/>
      <c r="J2" s="5" t="inlineStr"/>
      <c r="K2" s="5" t="inlineStr"/>
    </row>
    <row r="3">
      <c r="A3" s="5" t="inlineStr">
        <is>
          <t>Upgrade Energy GREEN V2 6S1P 4Ah Amprius SA10</t>
        </is>
      </c>
      <c r="B3" s="5" t="inlineStr">
        <is>
          <t>Li-ion</t>
        </is>
      </c>
      <c r="C3" s="5" t="n">
        <v>6</v>
      </c>
      <c r="D3" s="5" t="n">
        <v>1</v>
      </c>
      <c r="E3" s="5" t="n">
        <v>4000</v>
      </c>
      <c r="F3" s="5" t="n">
        <v>305</v>
      </c>
      <c r="G3" s="5" t="n">
        <v>1.5</v>
      </c>
      <c r="H3" s="5" t="n">
        <v>4</v>
      </c>
      <c r="I3" s="5" t="inlineStr">
        <is>
          <t>https://www.upgradeenergytech.com/</t>
        </is>
      </c>
      <c r="J3" s="5" t="inlineStr"/>
      <c r="K3" s="5" t="inlineStr">
        <is>
          <t>https://www.upgradeenergytech.com/</t>
        </is>
      </c>
    </row>
  </sheetData>
  <dataValidations count="1">
    <dataValidation sqref="B2:B500" showDropDown="0" showInputMessage="0" showErrorMessage="0" allowBlank="1" type="list">
      <formula1>=Lists!$D$1:$D$4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5" customWidth="1" min="4" max="4"/>
    <col width="12" customWidth="1" min="5" max="5"/>
    <col width="14" customWidth="1" min="6" max="6"/>
    <col width="16" customWidth="1" min="7" max="7"/>
    <col width="13" customWidth="1" min="8" max="8"/>
    <col width="12" customWidth="1" min="9" max="9"/>
    <col width="30" customWidth="1" min="10" max="10"/>
    <col width="42" customWidth="1" min="11" max="11"/>
    <col width="11" customWidth="1" min="12" max="12"/>
    <col width="42" customWidth="1" min="13" max="13"/>
  </cols>
  <sheetData>
    <row r="1" ht="22" customHeight="1">
      <c r="A1" s="4" t="inlineStr">
        <is>
          <t>Name</t>
        </is>
      </c>
      <c r="B1" s="4" t="inlineStr">
        <is>
          <t>Type (Fixed-wing / Multirotor / Hybrid VTOL)</t>
        </is>
      </c>
      <c r="C1" s="4" t="inlineStr">
        <is>
          <t>Wingspan (m)</t>
        </is>
      </c>
      <c r="D1" s="4" t="inlineStr">
        <is>
          <t>Wing area (m²)</t>
        </is>
      </c>
      <c r="E1" s="4" t="inlineStr">
        <is>
          <t>Length (m)</t>
        </is>
      </c>
      <c r="F1" s="4" t="inlineStr">
        <is>
          <t>Wheelbase (mm)</t>
        </is>
      </c>
      <c r="G1" s="4" t="inlineStr">
        <is>
          <t>Layout (Quad X, Hexa, ...)</t>
        </is>
      </c>
      <c r="H1" s="4" t="inlineStr">
        <is>
          <t>Max prop (in)</t>
        </is>
      </c>
      <c r="I1" s="4" t="inlineStr">
        <is>
          <t>Weight (g)</t>
        </is>
      </c>
      <c r="J1" s="4" t="inlineStr">
        <is>
          <t>Notes</t>
        </is>
      </c>
      <c r="K1" s="4" t="inlineStr">
        <is>
          <t>Link</t>
        </is>
      </c>
      <c r="L1" s="4" t="inlineStr">
        <is>
          <t>Unit cost</t>
        </is>
      </c>
      <c r="M1" s="4" t="inlineStr">
        <is>
          <t>Buy link</t>
        </is>
      </c>
    </row>
    <row r="2">
      <c r="A2" s="5" t="inlineStr">
        <is>
          <t>AtomRC Dolphin Pro</t>
        </is>
      </c>
      <c r="B2" s="5" t="inlineStr">
        <is>
          <t>Fixed-wing</t>
        </is>
      </c>
      <c r="C2" s="5" t="n">
        <v>0.845</v>
      </c>
      <c r="D2" s="5" t="n">
        <v>0.1696</v>
      </c>
      <c r="E2" s="5" t="n">
        <v>0.826</v>
      </c>
      <c r="F2" s="5" t="inlineStr"/>
      <c r="G2" s="5" t="inlineStr"/>
      <c r="H2" s="5" t="inlineStr"/>
      <c r="I2" s="5" t="n">
        <v>790</v>
      </c>
      <c r="J2" s="5" t="inlineStr"/>
      <c r="K2" s="5" t="inlineStr"/>
      <c r="L2" s="5" t="inlineStr"/>
      <c r="M2" s="5" t="inlineStr"/>
    </row>
    <row r="3">
      <c r="A3" s="5" t="inlineStr">
        <is>
          <t>HEEWING T2 Cruza</t>
        </is>
      </c>
      <c r="B3" s="5" t="inlineStr">
        <is>
          <t>Fixed-wing</t>
        </is>
      </c>
      <c r="C3" s="5" t="n">
        <v>1.2</v>
      </c>
      <c r="D3" s="5" t="inlineStr"/>
      <c r="E3" s="5" t="inlineStr"/>
      <c r="F3" s="5" t="inlineStr"/>
      <c r="G3" s="5" t="inlineStr"/>
      <c r="H3" s="5" t="inlineStr"/>
      <c r="I3" s="5" t="n">
        <v>1200</v>
      </c>
      <c r="J3" s="5" t="inlineStr">
        <is>
          <t>wing area not listed</t>
        </is>
      </c>
      <c r="K3" s="5" t="inlineStr"/>
      <c r="L3" s="5" t="inlineStr"/>
      <c r="M3" s="5" t="inlineStr"/>
    </row>
    <row r="4">
      <c r="A4" s="5" t="inlineStr">
        <is>
          <t>Example 500 mm quad frame</t>
        </is>
      </c>
      <c r="B4" s="5" t="inlineStr">
        <is>
          <t>Multirotor</t>
        </is>
      </c>
      <c r="C4" s="5" t="inlineStr"/>
      <c r="D4" s="5" t="inlineStr"/>
      <c r="E4" s="5" t="inlineStr"/>
      <c r="F4" s="5" t="n">
        <v>500</v>
      </c>
      <c r="G4" s="5" t="inlineStr">
        <is>
          <t>Quad X</t>
        </is>
      </c>
      <c r="H4" s="5" t="n">
        <v>13</v>
      </c>
      <c r="I4" s="5" t="n">
        <v>450</v>
      </c>
      <c r="J4" s="5" t="inlineStr">
        <is>
          <t>multirotor: wheelbase, layout and max prop instead of a wing</t>
        </is>
      </c>
      <c r="K4" s="5" t="inlineStr"/>
      <c r="L4" s="5" t="inlineStr"/>
      <c r="M4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Structures</t>
        </is>
      </c>
      <c r="B1" t="inlineStr">
        <is>
          <t>VBAT</t>
        </is>
      </c>
      <c r="C1" t="inlineStr">
        <is>
          <t>None</t>
        </is>
      </c>
      <c r="D1" t="inlineStr">
        <is>
          <t>LiPo</t>
        </is>
      </c>
    </row>
    <row r="2">
      <c r="A2" t="inlineStr">
        <is>
          <t>3D printed</t>
        </is>
      </c>
      <c r="B2" t="inlineStr">
        <is>
          <t>3.3V</t>
        </is>
      </c>
      <c r="C2" t="inlineStr">
        <is>
          <t>433 MHz</t>
        </is>
      </c>
      <c r="D2" t="inlineStr">
        <is>
          <t>LiHV</t>
        </is>
      </c>
    </row>
    <row r="3">
      <c r="A3" t="inlineStr">
        <is>
          <t>Propulsion</t>
        </is>
      </c>
      <c r="B3" t="inlineStr">
        <is>
          <t>5V</t>
        </is>
      </c>
      <c r="C3" t="inlineStr">
        <is>
          <t>868 MHz</t>
        </is>
      </c>
      <c r="D3" t="inlineStr">
        <is>
          <t>Li-ion</t>
        </is>
      </c>
    </row>
    <row r="4">
      <c r="A4" t="inlineStr">
        <is>
          <t>Power</t>
        </is>
      </c>
      <c r="B4" t="inlineStr">
        <is>
          <t>9V</t>
        </is>
      </c>
      <c r="C4" t="inlineStr">
        <is>
          <t>915 MHz</t>
        </is>
      </c>
      <c r="D4" t="inlineStr">
        <is>
          <t>LiFePO4</t>
        </is>
      </c>
    </row>
    <row r="5">
      <c r="A5" t="inlineStr">
        <is>
          <t>Avionics</t>
        </is>
      </c>
      <c r="B5" t="inlineStr">
        <is>
          <t>12V</t>
        </is>
      </c>
      <c r="C5" t="inlineStr">
        <is>
          <t>1.2/1.3 GHz</t>
        </is>
      </c>
    </row>
    <row r="6">
      <c r="A6" t="inlineStr">
        <is>
          <t>Sensors</t>
        </is>
      </c>
      <c r="B6" t="inlineStr">
        <is>
          <t>24V</t>
        </is>
      </c>
      <c r="C6" t="inlineStr">
        <is>
          <t>2.4 GHz</t>
        </is>
      </c>
    </row>
    <row r="7">
      <c r="A7" t="inlineStr">
        <is>
          <t>Comms</t>
        </is>
      </c>
      <c r="B7" t="inlineStr">
        <is>
          <t>Own supply</t>
        </is>
      </c>
      <c r="C7" t="inlineStr">
        <is>
          <t>5.8 GHz</t>
        </is>
      </c>
    </row>
    <row r="8">
      <c r="A8" t="inlineStr">
        <is>
          <t>Compute</t>
        </is>
      </c>
      <c r="B8" t="inlineStr">
        <is>
          <t>None</t>
        </is>
      </c>
    </row>
    <row r="9">
      <c r="A9" t="inlineStr">
        <is>
          <t>Payload</t>
        </is>
      </c>
    </row>
    <row r="10">
      <c r="A10" t="inlineStr">
        <is>
          <t>Wiring</t>
        </is>
      </c>
    </row>
    <row r="11">
      <c r="A11" t="inlineStr">
        <is>
          <t>Hardware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2026-10-15T22:29:23Z</dcterms:created>
  <dcterms:modified xmlns:dcterms="http://purl.org/dc/terms/" xmlns:xsi="http://www.w3.org/2001/XMLSchema-instance" xsi:type="dcterms:W3CDTF">2026-10-15T22:29:23Z</dcterms:modified>
</cp:coreProperties>
</file>